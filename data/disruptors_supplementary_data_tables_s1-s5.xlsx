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niofleicester.sharepoint.com/sites/Team_caad90aa-a47f-449b-818d-a866be7fd445/Shared Documents/General/disruptors/data/"/>
    </mc:Choice>
  </mc:AlternateContent>
  <xr:revisionPtr revIDLastSave="127" documentId="14_{07CC9888-B577-4F29-BB79-BFAB3ACC8C06}" xr6:coauthVersionLast="47" xr6:coauthVersionMax="47" xr10:uidLastSave="{2A116BA5-859F-4B0C-ACA3-FFDFE6D6AB2B}"/>
  <bookViews>
    <workbookView xWindow="-28920" yWindow="-2895" windowWidth="29040" windowHeight="15840" firstSheet="6" activeTab="6" xr2:uid="{3126E51C-B0E9-457E-98E2-44FE6544FF4A}"/>
  </bookViews>
  <sheets>
    <sheet name="README" sheetId="4" r:id="rId1"/>
    <sheet name="references" sheetId="3" r:id="rId2"/>
    <sheet name="table_s1_transient" sheetId="8" r:id="rId3"/>
    <sheet name="table_s2_persistent" sheetId="9" r:id="rId4"/>
    <sheet name="table_s3_events" sheetId="7" r:id="rId5"/>
    <sheet name="table_s4_summaries" sheetId="18" r:id="rId6"/>
    <sheet name="table_s5_biosphere_changes" sheetId="12" r:id="rId7"/>
  </sheets>
  <definedNames>
    <definedName name="_xlnm._FilterDatabase" localSheetId="1" hidden="1">references!$A$1:$B$3</definedName>
    <definedName name="_xlnm._FilterDatabase" localSheetId="2" hidden="1">table_s1_transient!$A$1:$J$25</definedName>
    <definedName name="_xlnm._FilterDatabase" localSheetId="3" hidden="1">table_s2_persistent!$A$1:$G$12</definedName>
    <definedName name="_xlnm._FilterDatabase" localSheetId="4" hidden="1">table_s3_events!$A$1:$K$36</definedName>
    <definedName name="_xlnm._FilterDatabase" localSheetId="6" hidden="1">table_s5_biosphere_changes!$A$1:$M$106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2" l="1"/>
  <c r="J19" i="12" s="1"/>
  <c r="L19" i="12" s="1"/>
  <c r="C19" i="12"/>
  <c r="D19" i="12"/>
  <c r="K19" i="12"/>
  <c r="E13" i="18" a="1"/>
  <c r="E13" i="18" s="1"/>
  <c r="E12" i="18" a="1"/>
  <c r="E12" i="18" s="1"/>
  <c r="E11" i="18" a="1"/>
  <c r="E11" i="18" s="1"/>
  <c r="E10" i="18" a="1"/>
  <c r="E10" i="18" s="1"/>
  <c r="E9" i="18" a="1"/>
  <c r="E9" i="18" s="1"/>
  <c r="E8" i="18"/>
  <c r="E7" i="18" a="1"/>
  <c r="E7" i="18" s="1"/>
  <c r="E6" i="18" a="1"/>
  <c r="E6" i="18" s="1"/>
  <c r="E5" i="18" a="1"/>
  <c r="E5" i="18" s="1"/>
  <c r="E4" i="18" a="1"/>
  <c r="E4" i="18" s="1"/>
  <c r="E3" i="18" a="1"/>
  <c r="E3" i="18" s="1"/>
  <c r="E2" i="18"/>
  <c r="D13" i="18" a="1"/>
  <c r="D13" i="18" s="1"/>
  <c r="D12" i="18" a="1"/>
  <c r="D12" i="18" s="1"/>
  <c r="D11" i="18" a="1"/>
  <c r="D11" i="18" s="1"/>
  <c r="D10" i="18" a="1"/>
  <c r="D10" i="18" s="1"/>
  <c r="D9" i="18" a="1"/>
  <c r="D9" i="18" s="1"/>
  <c r="D8" i="18"/>
  <c r="D7" i="18" a="1"/>
  <c r="D7" i="18" s="1"/>
  <c r="D6" i="18" a="1"/>
  <c r="D6" i="18" s="1"/>
  <c r="D5" i="18" a="1"/>
  <c r="D5" i="18" s="1"/>
  <c r="D4" i="18" a="1"/>
  <c r="D4" i="18" s="1"/>
  <c r="D3" i="18" a="1"/>
  <c r="D3" i="18" s="1"/>
  <c r="D2" i="18"/>
  <c r="C13" i="18" a="1"/>
  <c r="C13" i="18" s="1"/>
  <c r="C12" i="18" a="1"/>
  <c r="C12" i="18" s="1"/>
  <c r="C11" i="18" a="1"/>
  <c r="C11" i="18" s="1"/>
  <c r="C10" i="18" a="1"/>
  <c r="C10" i="18" s="1"/>
  <c r="C9" i="18" a="1"/>
  <c r="C9" i="18" s="1"/>
  <c r="C8" i="18"/>
  <c r="C7" i="18" a="1"/>
  <c r="C7" i="18" s="1"/>
  <c r="C6" i="18" a="1"/>
  <c r="C6" i="18" s="1"/>
  <c r="C5" i="18" a="1"/>
  <c r="C5" i="18" s="1"/>
  <c r="C4" i="18" a="1"/>
  <c r="C4" i="18" s="1"/>
  <c r="C3" i="18" a="1"/>
  <c r="C3" i="18" s="1"/>
  <c r="C2" i="18"/>
  <c r="A89" i="12"/>
  <c r="D6" i="12"/>
  <c r="D16" i="12"/>
  <c r="D17" i="12"/>
  <c r="D18" i="12"/>
  <c r="D20" i="12"/>
  <c r="D21" i="12"/>
  <c r="D22" i="12"/>
  <c r="D23" i="12"/>
  <c r="D24" i="12"/>
  <c r="D25" i="12"/>
  <c r="D26" i="12"/>
  <c r="D27" i="12"/>
  <c r="D28" i="12"/>
  <c r="D47" i="12"/>
  <c r="D48" i="12"/>
  <c r="D103" i="12"/>
  <c r="D104" i="12"/>
  <c r="D105" i="12"/>
  <c r="D106" i="12"/>
  <c r="D107" i="12"/>
  <c r="D108" i="12"/>
  <c r="D89" i="12"/>
  <c r="D90" i="12"/>
  <c r="D91" i="12"/>
  <c r="D92" i="12"/>
  <c r="D93" i="12"/>
  <c r="D94" i="12"/>
  <c r="D58" i="12"/>
  <c r="D59" i="12"/>
  <c r="D60" i="12"/>
  <c r="D41" i="12"/>
  <c r="D42" i="12"/>
  <c r="D43" i="12"/>
  <c r="D44" i="12"/>
  <c r="D66" i="12"/>
  <c r="D67" i="12"/>
  <c r="D68" i="12"/>
  <c r="D61" i="12"/>
  <c r="D62" i="12"/>
  <c r="D63" i="12"/>
  <c r="D64" i="12"/>
  <c r="D65" i="12"/>
  <c r="D55" i="12"/>
  <c r="D56" i="12"/>
  <c r="D57" i="12"/>
  <c r="D34" i="12"/>
  <c r="D35" i="12"/>
  <c r="D36" i="12"/>
  <c r="D74" i="12"/>
  <c r="D75" i="12"/>
  <c r="D76" i="12"/>
  <c r="D72" i="12"/>
  <c r="D73" i="12"/>
  <c r="D83" i="12"/>
  <c r="D49" i="12"/>
  <c r="D79" i="12"/>
  <c r="D84" i="12"/>
  <c r="D85" i="12"/>
  <c r="D86" i="12"/>
  <c r="D87" i="12"/>
  <c r="D88" i="12"/>
  <c r="D80" i="12"/>
  <c r="D81" i="12"/>
  <c r="D82" i="12"/>
  <c r="D46" i="12"/>
  <c r="D45" i="12"/>
  <c r="D37" i="12"/>
  <c r="D38" i="12"/>
  <c r="D39" i="12"/>
  <c r="D40" i="12"/>
  <c r="D29" i="12"/>
  <c r="D30" i="12"/>
  <c r="D31" i="12"/>
  <c r="D32" i="12"/>
  <c r="D33" i="12"/>
  <c r="D100" i="12"/>
  <c r="D69" i="12"/>
  <c r="D70" i="12"/>
  <c r="D71" i="12"/>
  <c r="D101" i="12"/>
  <c r="D102" i="12"/>
  <c r="D96" i="12"/>
  <c r="D97" i="12"/>
  <c r="D98" i="12"/>
  <c r="D99" i="12"/>
  <c r="D77" i="12"/>
  <c r="D78" i="12"/>
  <c r="D50" i="12"/>
  <c r="D51" i="12"/>
  <c r="D52" i="12"/>
  <c r="D53" i="12"/>
  <c r="D54" i="12"/>
  <c r="D95" i="12"/>
  <c r="D8" i="12"/>
  <c r="D2" i="12"/>
  <c r="D3" i="12"/>
  <c r="D9" i="12"/>
  <c r="D10" i="12"/>
  <c r="D11" i="12"/>
  <c r="D12" i="12"/>
  <c r="D13" i="12"/>
  <c r="D14" i="12"/>
  <c r="D15" i="12"/>
  <c r="D4" i="12"/>
  <c r="D5" i="12"/>
  <c r="D7" i="12"/>
  <c r="A95" i="12" l="1"/>
  <c r="J95" i="12" s="1"/>
  <c r="A54" i="12"/>
  <c r="J54" i="12" s="1"/>
  <c r="A4" i="12"/>
  <c r="J4" i="12" s="1"/>
  <c r="C4" i="12"/>
  <c r="A84" i="12"/>
  <c r="J84" i="12" s="1"/>
  <c r="L84" i="12" s="1"/>
  <c r="A85" i="12"/>
  <c r="J85" i="12" s="1"/>
  <c r="C15" i="12"/>
  <c r="A15" i="12"/>
  <c r="J15" i="12" s="1"/>
  <c r="C88" i="12"/>
  <c r="C53" i="12"/>
  <c r="C52" i="12"/>
  <c r="C51" i="12"/>
  <c r="C50" i="12"/>
  <c r="C78" i="12"/>
  <c r="C77" i="12"/>
  <c r="C99" i="12"/>
  <c r="C98" i="12"/>
  <c r="C97" i="12"/>
  <c r="C96" i="12"/>
  <c r="C102" i="12"/>
  <c r="C101" i="12"/>
  <c r="C71" i="12"/>
  <c r="C70" i="12"/>
  <c r="C69" i="12"/>
  <c r="C100" i="12"/>
  <c r="C33" i="12"/>
  <c r="C32" i="12"/>
  <c r="C31" i="12"/>
  <c r="C30" i="12"/>
  <c r="C29" i="12"/>
  <c r="C28" i="12"/>
  <c r="C27" i="12"/>
  <c r="C26" i="12"/>
  <c r="C25" i="12"/>
  <c r="C24" i="12"/>
  <c r="C23" i="12"/>
  <c r="C22" i="12"/>
  <c r="C21" i="12"/>
  <c r="C20" i="12"/>
  <c r="C18" i="12"/>
  <c r="C17" i="12"/>
  <c r="C16" i="12"/>
  <c r="C40" i="12"/>
  <c r="C39" i="12"/>
  <c r="C38" i="12"/>
  <c r="C37" i="12"/>
  <c r="C45" i="12"/>
  <c r="C46" i="12"/>
  <c r="C82" i="12"/>
  <c r="C81" i="12"/>
  <c r="C80" i="12"/>
  <c r="C87" i="12"/>
  <c r="C86" i="12"/>
  <c r="C94" i="12"/>
  <c r="C93" i="12"/>
  <c r="C92" i="12"/>
  <c r="C91" i="12"/>
  <c r="C90" i="12"/>
  <c r="C89" i="12"/>
  <c r="C79" i="12"/>
  <c r="C49" i="12"/>
  <c r="C83" i="12"/>
  <c r="C73" i="12"/>
  <c r="C72" i="12"/>
  <c r="C108" i="12"/>
  <c r="C107" i="12"/>
  <c r="C76" i="12"/>
  <c r="C75" i="12"/>
  <c r="C74" i="12"/>
  <c r="C106" i="12"/>
  <c r="C36" i="12"/>
  <c r="C35" i="12"/>
  <c r="C34" i="12"/>
  <c r="C57" i="12"/>
  <c r="C56" i="12"/>
  <c r="C55" i="12"/>
  <c r="C65" i="12"/>
  <c r="C64" i="12"/>
  <c r="C63" i="12"/>
  <c r="C62" i="12"/>
  <c r="C61" i="12"/>
  <c r="C68" i="12"/>
  <c r="C67" i="12"/>
  <c r="C66" i="12"/>
  <c r="C44" i="12"/>
  <c r="C43" i="12"/>
  <c r="C42" i="12"/>
  <c r="C41" i="12"/>
  <c r="C60" i="12"/>
  <c r="C59" i="12"/>
  <c r="C58" i="12"/>
  <c r="C105" i="12"/>
  <c r="C104" i="12"/>
  <c r="C103" i="12"/>
  <c r="C48" i="12"/>
  <c r="C47" i="12"/>
  <c r="C6" i="12"/>
  <c r="C5" i="12"/>
  <c r="C3" i="12"/>
  <c r="C2" i="12"/>
  <c r="C14" i="12"/>
  <c r="C13" i="12"/>
  <c r="C12" i="12"/>
  <c r="C11" i="12"/>
  <c r="C10" i="12"/>
  <c r="C9" i="12"/>
  <c r="C8" i="12"/>
  <c r="C7" i="12"/>
  <c r="A7" i="12"/>
  <c r="A44" i="12"/>
  <c r="J44" i="12" s="1"/>
  <c r="K44" i="12" s="1"/>
  <c r="K63" i="12"/>
  <c r="K106" i="12"/>
  <c r="K107" i="12"/>
  <c r="K108" i="12"/>
  <c r="K89" i="12"/>
  <c r="K90" i="12"/>
  <c r="K91" i="12"/>
  <c r="K92" i="12"/>
  <c r="K16" i="12"/>
  <c r="K18" i="12"/>
  <c r="K48" i="12"/>
  <c r="K103" i="12"/>
  <c r="A56" i="12"/>
  <c r="A14" i="12"/>
  <c r="J14" i="12" s="1"/>
  <c r="L14" i="12" s="1"/>
  <c r="A28" i="12"/>
  <c r="J28" i="12" s="1"/>
  <c r="L28" i="12" s="1"/>
  <c r="A32" i="12"/>
  <c r="J32" i="12" s="1"/>
  <c r="L32" i="12" s="1"/>
  <c r="A33" i="12"/>
  <c r="J33" i="12" s="1"/>
  <c r="L33" i="12" s="1"/>
  <c r="A29" i="12"/>
  <c r="J29" i="12" s="1"/>
  <c r="L29" i="12" s="1"/>
  <c r="A30" i="12"/>
  <c r="J30" i="12" s="1"/>
  <c r="L30" i="12" s="1"/>
  <c r="A31" i="12"/>
  <c r="J31" i="12" s="1"/>
  <c r="L31" i="12" s="1"/>
  <c r="J1" i="12"/>
  <c r="J89" i="12"/>
  <c r="L89" i="12" s="1"/>
  <c r="A90" i="12"/>
  <c r="J90" i="12" s="1"/>
  <c r="L90" i="12" s="1"/>
  <c r="A5" i="12"/>
  <c r="J5" i="12" s="1"/>
  <c r="L5" i="12" s="1"/>
  <c r="A6" i="12"/>
  <c r="J6" i="12" s="1"/>
  <c r="L6" i="12" s="1"/>
  <c r="A10" i="12"/>
  <c r="J10" i="12" s="1"/>
  <c r="L10" i="12" s="1"/>
  <c r="A13" i="12"/>
  <c r="J13" i="12" s="1"/>
  <c r="L13" i="12" s="1"/>
  <c r="A2" i="12"/>
  <c r="J2" i="12" s="1"/>
  <c r="L2" i="12" s="1"/>
  <c r="A3" i="12"/>
  <c r="J3" i="12" s="1"/>
  <c r="L3" i="12" s="1"/>
  <c r="A24" i="12"/>
  <c r="J24" i="12" s="1"/>
  <c r="L24" i="12" s="1"/>
  <c r="A48" i="12"/>
  <c r="J48" i="12" s="1"/>
  <c r="L48" i="12" s="1"/>
  <c r="A91" i="12"/>
  <c r="J91" i="12" s="1"/>
  <c r="L91" i="12" s="1"/>
  <c r="A103" i="12"/>
  <c r="J103" i="12" s="1"/>
  <c r="L103" i="12" s="1"/>
  <c r="A107" i="12"/>
  <c r="J107" i="12" s="1"/>
  <c r="L107" i="12" s="1"/>
  <c r="A108" i="12"/>
  <c r="J108" i="12" s="1"/>
  <c r="L108" i="12" s="1"/>
  <c r="A17" i="12"/>
  <c r="J17" i="12" s="1"/>
  <c r="L17" i="12" s="1"/>
  <c r="A16" i="12"/>
  <c r="J16" i="12" s="1"/>
  <c r="L16" i="12" s="1"/>
  <c r="A92" i="12"/>
  <c r="J92" i="12" s="1"/>
  <c r="L92" i="12" s="1"/>
  <c r="A80" i="12"/>
  <c r="J80" i="12" s="1"/>
  <c r="L80" i="12" s="1"/>
  <c r="A97" i="12"/>
  <c r="J97" i="12" s="1"/>
  <c r="L97" i="12" s="1"/>
  <c r="A101" i="12"/>
  <c r="J101" i="12" s="1"/>
  <c r="L101" i="12" s="1"/>
  <c r="A100" i="12"/>
  <c r="J100" i="12" s="1"/>
  <c r="L100" i="12" s="1"/>
  <c r="A83" i="12"/>
  <c r="J83" i="12" s="1"/>
  <c r="L83" i="12" s="1"/>
  <c r="A82" i="12"/>
  <c r="J82" i="12" s="1"/>
  <c r="L82" i="12" s="1"/>
  <c r="A106" i="12"/>
  <c r="J106" i="12" s="1"/>
  <c r="L106" i="12" s="1"/>
  <c r="A21" i="12"/>
  <c r="J21" i="12" s="1"/>
  <c r="L21" i="12" s="1"/>
  <c r="K95" i="12" l="1"/>
  <c r="L95" i="12"/>
  <c r="K54" i="12"/>
  <c r="L54" i="12"/>
  <c r="K4" i="12"/>
  <c r="L4" i="12"/>
  <c r="K85" i="12"/>
  <c r="L85" i="12"/>
  <c r="K84" i="12"/>
  <c r="L44" i="12"/>
  <c r="K15" i="12"/>
  <c r="L15" i="12"/>
  <c r="K101" i="12"/>
  <c r="K33" i="12"/>
  <c r="K83" i="12"/>
  <c r="K97" i="12"/>
  <c r="K31" i="12"/>
  <c r="K21" i="12"/>
  <c r="K14" i="12"/>
  <c r="K3" i="12"/>
  <c r="K80" i="12"/>
  <c r="K10" i="12"/>
  <c r="K24" i="12"/>
  <c r="K2" i="12"/>
  <c r="K32" i="12"/>
  <c r="K6" i="12"/>
  <c r="K5" i="12"/>
  <c r="K100" i="12"/>
  <c r="K82" i="12"/>
  <c r="K13" i="12"/>
  <c r="K30" i="12"/>
  <c r="K17" i="12"/>
  <c r="K29" i="12"/>
  <c r="K28" i="12"/>
  <c r="A8" i="12"/>
  <c r="J8" i="12" s="1"/>
  <c r="A102" i="12"/>
  <c r="J102" i="12" s="1"/>
  <c r="A47" i="12"/>
  <c r="J47" i="12" s="1"/>
  <c r="A12" i="12"/>
  <c r="J12" i="12" s="1"/>
  <c r="A9" i="12"/>
  <c r="J9" i="12" s="1"/>
  <c r="A11" i="12"/>
  <c r="J11" i="12" s="1"/>
  <c r="A27" i="12"/>
  <c r="J27" i="12" s="1"/>
  <c r="A66" i="12"/>
  <c r="J66" i="12" s="1"/>
  <c r="A68" i="12"/>
  <c r="J68" i="12" s="1"/>
  <c r="A67" i="12"/>
  <c r="J67" i="12" s="1"/>
  <c r="A104" i="12"/>
  <c r="J104" i="12" s="1"/>
  <c r="A105" i="12"/>
  <c r="J105" i="12" s="1"/>
  <c r="A36" i="12"/>
  <c r="J36" i="12" s="1"/>
  <c r="A34" i="12"/>
  <c r="J34" i="12" s="1"/>
  <c r="A35" i="12"/>
  <c r="J35" i="12" s="1"/>
  <c r="A55" i="12"/>
  <c r="J55" i="12" s="1"/>
  <c r="A57" i="12"/>
  <c r="J57" i="12" s="1"/>
  <c r="J56" i="12"/>
  <c r="A75" i="12"/>
  <c r="J75" i="12" s="1"/>
  <c r="A74" i="12"/>
  <c r="J74" i="12" s="1"/>
  <c r="A76" i="12"/>
  <c r="J76" i="12" s="1"/>
  <c r="A73" i="12"/>
  <c r="J73" i="12" s="1"/>
  <c r="A72" i="12"/>
  <c r="J72" i="12" s="1"/>
  <c r="A79" i="12"/>
  <c r="J79" i="12" s="1"/>
  <c r="A41" i="12"/>
  <c r="J41" i="12" s="1"/>
  <c r="A42" i="12"/>
  <c r="J42" i="12" s="1"/>
  <c r="A43" i="12"/>
  <c r="J43" i="12" s="1"/>
  <c r="A81" i="12"/>
  <c r="J81" i="12" s="1"/>
  <c r="A86" i="12"/>
  <c r="J86" i="12" s="1"/>
  <c r="A87" i="12"/>
  <c r="J87" i="12" s="1"/>
  <c r="A88" i="12"/>
  <c r="J88" i="12" s="1"/>
  <c r="A46" i="12"/>
  <c r="J46" i="12" s="1"/>
  <c r="A45" i="12"/>
  <c r="J45" i="12" s="1"/>
  <c r="A40" i="12"/>
  <c r="J40" i="12" s="1"/>
  <c r="A39" i="12"/>
  <c r="J39" i="12" s="1"/>
  <c r="A38" i="12"/>
  <c r="J38" i="12" s="1"/>
  <c r="A37" i="12"/>
  <c r="J37" i="12" s="1"/>
  <c r="A94" i="12"/>
  <c r="J94" i="12" s="1"/>
  <c r="A93" i="12"/>
  <c r="J93" i="12" s="1"/>
  <c r="A61" i="12"/>
  <c r="J61" i="12" s="1"/>
  <c r="A65" i="12"/>
  <c r="J65" i="12" s="1"/>
  <c r="A62" i="12"/>
  <c r="A64" i="12"/>
  <c r="J64" i="12" s="1"/>
  <c r="A70" i="12"/>
  <c r="J70" i="12" s="1"/>
  <c r="A69" i="12"/>
  <c r="J69" i="12" s="1"/>
  <c r="A71" i="12"/>
  <c r="J71" i="12" s="1"/>
  <c r="A96" i="12"/>
  <c r="J96" i="12" s="1"/>
  <c r="A98" i="12"/>
  <c r="J98" i="12" s="1"/>
  <c r="A99" i="12"/>
  <c r="J99" i="12" s="1"/>
  <c r="A78" i="12"/>
  <c r="J78" i="12" s="1"/>
  <c r="A77" i="12"/>
  <c r="J77" i="12" s="1"/>
  <c r="A49" i="12"/>
  <c r="J49" i="12" s="1"/>
  <c r="A53" i="12"/>
  <c r="J53" i="12" s="1"/>
  <c r="A52" i="12"/>
  <c r="J52" i="12" s="1"/>
  <c r="A51" i="12"/>
  <c r="J51" i="12" s="1"/>
  <c r="A50" i="12"/>
  <c r="J50" i="12" s="1"/>
  <c r="A60" i="12"/>
  <c r="J60" i="12" s="1"/>
  <c r="A59" i="12"/>
  <c r="J59" i="12" s="1"/>
  <c r="A58" i="12"/>
  <c r="J58" i="12" s="1"/>
  <c r="A63" i="12"/>
  <c r="A18" i="12"/>
  <c r="J18" i="12" s="1"/>
  <c r="L18" i="12" s="1"/>
  <c r="A22" i="12"/>
  <c r="J22" i="12" s="1"/>
  <c r="K22" i="12" s="1"/>
  <c r="A25" i="12"/>
  <c r="J25" i="12" s="1"/>
  <c r="A26" i="12"/>
  <c r="J26" i="12" s="1"/>
  <c r="A23" i="12"/>
  <c r="J23" i="12" s="1"/>
  <c r="A20" i="12"/>
  <c r="J20" i="12" s="1"/>
  <c r="K20" i="12" s="1"/>
  <c r="J7" i="12"/>
  <c r="L7" i="12" l="1"/>
  <c r="K7" i="12"/>
  <c r="K61" i="12"/>
  <c r="J63" i="12"/>
  <c r="L63" i="12" s="1"/>
  <c r="J62" i="12"/>
  <c r="K62" i="12" s="1"/>
  <c r="L86" i="12"/>
  <c r="K86" i="12"/>
  <c r="L25" i="12"/>
  <c r="K25" i="12"/>
  <c r="L58" i="12"/>
  <c r="K58" i="12"/>
  <c r="L105" i="12"/>
  <c r="K105" i="12"/>
  <c r="L23" i="12"/>
  <c r="K23" i="12"/>
  <c r="L93" i="12"/>
  <c r="K93" i="12"/>
  <c r="L98" i="12"/>
  <c r="K98" i="12"/>
  <c r="L104" i="12"/>
  <c r="K104" i="12"/>
  <c r="L53" i="12"/>
  <c r="K53" i="12"/>
  <c r="L75" i="12"/>
  <c r="K75" i="12"/>
  <c r="L81" i="12"/>
  <c r="K81" i="12"/>
  <c r="L56" i="12"/>
  <c r="K56" i="12"/>
  <c r="L77" i="12"/>
  <c r="K77" i="12"/>
  <c r="L43" i="12"/>
  <c r="K43" i="12"/>
  <c r="L94" i="12"/>
  <c r="K94" i="12"/>
  <c r="L42" i="12"/>
  <c r="K42" i="12"/>
  <c r="L55" i="12"/>
  <c r="K55" i="12"/>
  <c r="L37" i="12"/>
  <c r="K37" i="12"/>
  <c r="L41" i="12"/>
  <c r="K41" i="12"/>
  <c r="L35" i="12"/>
  <c r="K35" i="12"/>
  <c r="L38" i="12"/>
  <c r="K38" i="12"/>
  <c r="L79" i="12"/>
  <c r="K79" i="12"/>
  <c r="L96" i="12"/>
  <c r="K96" i="12"/>
  <c r="L39" i="12"/>
  <c r="K39" i="12"/>
  <c r="L72" i="12"/>
  <c r="K72" i="12"/>
  <c r="L36" i="12"/>
  <c r="K36" i="12"/>
  <c r="L8" i="12"/>
  <c r="K8" i="12"/>
  <c r="L59" i="12"/>
  <c r="K59" i="12"/>
  <c r="L71" i="12"/>
  <c r="K71" i="12"/>
  <c r="L40" i="12"/>
  <c r="K40" i="12"/>
  <c r="L73" i="12"/>
  <c r="K73" i="12"/>
  <c r="L60" i="12"/>
  <c r="K60" i="12"/>
  <c r="L69" i="12"/>
  <c r="K69" i="12"/>
  <c r="L45" i="12"/>
  <c r="K45" i="12"/>
  <c r="L50" i="12"/>
  <c r="K50" i="12"/>
  <c r="L70" i="12"/>
  <c r="K70" i="12"/>
  <c r="L46" i="12"/>
  <c r="K46" i="12"/>
  <c r="L67" i="12"/>
  <c r="K67" i="12"/>
  <c r="L51" i="12"/>
  <c r="K51" i="12"/>
  <c r="L64" i="12"/>
  <c r="K64" i="12"/>
  <c r="L88" i="12"/>
  <c r="K88" i="12"/>
  <c r="L76" i="12"/>
  <c r="K76" i="12"/>
  <c r="L68" i="12"/>
  <c r="K68" i="12"/>
  <c r="L20" i="12"/>
  <c r="L52" i="12"/>
  <c r="K52" i="12"/>
  <c r="L87" i="12"/>
  <c r="K87" i="12"/>
  <c r="L74" i="12"/>
  <c r="K74" i="12"/>
  <c r="L66" i="12"/>
  <c r="K66" i="12"/>
  <c r="L27" i="12"/>
  <c r="K27" i="12"/>
  <c r="L11" i="12"/>
  <c r="K11" i="12"/>
  <c r="L26" i="12"/>
  <c r="K26" i="12"/>
  <c r="L57" i="12"/>
  <c r="K57" i="12"/>
  <c r="K9" i="12"/>
  <c r="L9" i="12"/>
  <c r="L78" i="12"/>
  <c r="K78" i="12"/>
  <c r="L12" i="12"/>
  <c r="K12" i="12"/>
  <c r="L65" i="12"/>
  <c r="K65" i="12"/>
  <c r="L22" i="12"/>
  <c r="L47" i="12"/>
  <c r="K47" i="12"/>
  <c r="L49" i="12"/>
  <c r="K49" i="12"/>
  <c r="L99" i="12"/>
  <c r="K99" i="12"/>
  <c r="L34" i="12"/>
  <c r="K34" i="12"/>
  <c r="L102" i="12"/>
  <c r="K102" i="12"/>
  <c r="L62" i="12" l="1"/>
  <c r="L61"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<sst xmlns="http://schemas.openxmlformats.org/spreadsheetml/2006/main" count="1441" uniqueCount="710">
  <si>
    <r>
      <t>Supplementary Data tables for Wong Hearing et al.: "</t>
    </r>
    <r>
      <rPr>
        <b/>
        <i/>
        <sz val="11"/>
        <color theme="1"/>
        <rFont val="Calibri"/>
        <family val="2"/>
        <scheme val="minor"/>
      </rPr>
      <t>Humans could become the greatest driver of biosphere net gain in Earth history, but are currently the second fastest driver of biosphere loss</t>
    </r>
    <r>
      <rPr>
        <b/>
        <sz val="11"/>
        <color theme="1"/>
        <rFont val="Calibri"/>
        <family val="2"/>
        <scheme val="minor"/>
      </rPr>
      <t>"</t>
    </r>
  </si>
  <si>
    <t>Explanation of sheets</t>
  </si>
  <si>
    <t>references</t>
  </si>
  <si>
    <t>literature sources cited in the supplementary data tables</t>
  </si>
  <si>
    <t>table_s1_transient</t>
  </si>
  <si>
    <t xml:space="preserve">Table S1. Examples of transient disruptors in Earth's deep past is associated with substantial habitat loss caused, for example, by global changes in climate and low oxygen concentrations in the marine realm. Unless otherwise stated, data follow Bond and Grasby (2017), Foster et al (2018), and Kiessling et al (2025). </t>
  </si>
  <si>
    <t>table_s2_persistent</t>
  </si>
  <si>
    <t xml:space="preserve">Table S2. Examples of persistent disruptors in Earth's deep past is associated with substantial biosphere change, and humans both near-past to contemporary and possible future as persistent disruptors. </t>
  </si>
  <si>
    <t>table_s3_durations</t>
  </si>
  <si>
    <t xml:space="preserve">Table S3. Reference table for transient, persistent, and human disruptors used in our analyses including numerical age, duration, and background climate state for each disruption episode. </t>
  </si>
  <si>
    <t>table_s4_summaries</t>
  </si>
  <si>
    <t xml:space="preserve">Table S4. Summary statistics of the durations (Table S3) of transient and persistent disruptors. These values are quoted in the main text. </t>
  </si>
  <si>
    <t>table_s5_biosphere_changes</t>
  </si>
  <si>
    <t xml:space="preserve">Table S5. Quantitative changes (positive or negative) of biosphere metrics (taxonomic richness, productivity, biomass) used for our analyses. Values presented in figures 2 and S4. </t>
  </si>
  <si>
    <t>short_ref</t>
  </si>
  <si>
    <t>full_ref</t>
  </si>
  <si>
    <t>estimate</t>
  </si>
  <si>
    <t>our calculated estimate with details provided in notes</t>
  </si>
  <si>
    <t>Bambach 2006</t>
  </si>
  <si>
    <t>Bambach RK. 2006 Phanerozoic Biodiversity Mass Extinctions. Annual Review of Earth and Planetary Sciences 34, 127–155. (doi:10.1146/annurev.earth.33.092203.122654)</t>
  </si>
  <si>
    <t>Barnosky &amp; Hadly 2026</t>
  </si>
  <si>
    <t>Barnosky A, Hadly E. 2026 The new Anthropocene biosphere. Philos Trans R Soc Lond B Biol Sci 381, 20240428. (doi:10.1098/rstb.2024.0428)</t>
  </si>
  <si>
    <t>Barnosky 2008</t>
  </si>
  <si>
    <t>Barnosky AD. 2008 Megafauna biomass tradeoff as a driver of Quaternary and future extinctions. Proceedings of the National Academy of Sciences 105, 11543–11548. (doi:10.1073/pnas.0801918105)</t>
  </si>
  <si>
    <t>Bar-On et al 2018</t>
  </si>
  <si>
    <t>Bar-On YM, Phillips R, Milo R. 2018 The biomass distribution on Earth. Proceedings of the National Academy of Sciences 115, 6506–6511. (doi:10.1073/pnas.1711842115)</t>
  </si>
  <si>
    <t>Battison &amp; Brasier 2012</t>
  </si>
  <si>
    <t>Battison L, Brasier MD. 2012 Remarkably preserved prokaryote and eukaryote microfossils within 1Ga-old lake phosphates of the Torridon Group, NW Scotland. Precambrian Research 196–197, 204–217. (doi:10.1016/j.precamres.2011.12.012)</t>
  </si>
  <si>
    <t>Benton et al 2022</t>
  </si>
  <si>
    <t>Benton MJ, Wilf P, Sauquet H. 2022 The Angiosperm Terrestrial Revolution and the origins of modern biodiversity. New Phytologist 233, 2017–2035. (doi:10.1111/nph.17822)</t>
  </si>
  <si>
    <t>Betts et al 2018</t>
  </si>
  <si>
    <t>Betts HC, Puttick MN, Clark JW, Williams TA, Donoghue PCJ, Pisani D. 2018 Integrated genomic and fossil evidence illuminates life’s early evolution and eukaryote origin. Nat Ecol Evol 2, 1556–1562. (doi:10.1038/s41559-018-0644-x)</t>
  </si>
  <si>
    <t>Blackburn et al 2013</t>
  </si>
  <si>
    <t>Blackburn TJ, Olsen PE, Bowring SA, McLean NM, Kent DV, Puffer J, McHone G, Rasbury ET, Et-Touhami M. 2013 Zircon U-Pb Geochronology Links the End-Triassic Extinction with the Central Atlantic Magmatic Province. Science 340, 941–945. (doi:10.1126/science.1234204)</t>
  </si>
  <si>
    <t>Bond &amp; Grasby 2017</t>
  </si>
  <si>
    <t>Bond DPG, Grasby SE. 2017 On the causes of mass extinctions. Palaeogeography, Palaeoclimatology, Palaeoecology 478, 3–29. (doi:10.1016/j.palaeo.2016.11.005)</t>
  </si>
  <si>
    <t>Bond et al 2019</t>
  </si>
  <si>
    <t>Bond DPG, Wignall PB, Grasby SE. 2019 The Capitanian (Guadalupian, Middle Permian) mass extinction in NW Pangea (Borup Fiord, Arctic Canada): A global crisis driven by volcanism and anoxia. GSA Bulletin 132, 931–942. (doi:10.1130/B35281.1)</t>
  </si>
  <si>
    <t>Boulila et al 2019</t>
  </si>
  <si>
    <t>Boulila S, Galbrun B, Sadki D, Gardin S, Bartolini A. 2019 Constraints on the duration of the early Toarcian T-OAE and evidence for carbon-reservoir change from the High Atlas (Morocco). Global and Planetary Change 175, 113–128. (doi:10.1016/j.gloplacha.2019.02.005)</t>
  </si>
  <si>
    <t>Brocks et al 2017</t>
  </si>
  <si>
    <t>Brocks JJ, Jarrett AJM, Sirantoine E, Hallmann C, Hoshino Y, Liyanage T. 2017 The rise of algae in Cryogenian oceans and the emergence of animals. Nature 548, 578–581. (doi:10.1038/nature23457)</t>
  </si>
  <si>
    <t>Brocks et al 2023</t>
  </si>
  <si>
    <t>Brocks JJ et al. 2023 Lost world of complex life and the late rise of the eukaryotic crown. Nature , 1–7. (doi:10.1038/s41586-023-06170-w)</t>
  </si>
  <si>
    <t>Brown et al 2004</t>
  </si>
  <si>
    <t>Bown PR, Lees JA, Young JR. 2004 Calcareous nannoplankton evolution and diversity through time. In Coccolithophores: From Molecular Processes to Global Impact (eds HR Thierstein, JR Young), pp. 481–508. Berlin, Heidelberg: Springer. (doi:10.1007/978-3-662-06278-4_18)</t>
  </si>
  <si>
    <t>Brugger et al 2017</t>
  </si>
  <si>
    <t>Brugger J, Feulner G, Petri S. 2017 Baby, it’s cold outside: Climate model simulations of the effects of the asteroid impact at the end of the Cretaceous. Geophysical Research Letters 44, 419–427. (doi:10.1002/2016GL072241)</t>
  </si>
  <si>
    <t>Buatois et al 2016</t>
  </si>
  <si>
    <t>Buatois LA, Carmona NB, Curran HA, Netto RG, Mángano MG, Wetzel A. 2016 The Mesozoic Marine Revolution. In The Trace-Fossil Record of Major Evolutionary Events: Volume 2: Mesozoic and Cenozoic (eds MG Mángano, LA Buatois), pp. 19–134. Dordrecht: Springer Netherlands. (doi:10.1007/978-94-017-9597-5_2)</t>
  </si>
  <si>
    <t>Burgess et al 2014</t>
  </si>
  <si>
    <t>Burgess SD, Bowring S, Shen S. 2014 High-precision timeline for Earth’s most severe extinction. Proceedings of the National Academy of Sciences 111, 3316–3321. (doi:10.1073/pnas.1317692111)</t>
  </si>
  <si>
    <t>Capel et al 2022</t>
  </si>
  <si>
    <t>Capel E, Cleal CJ, Xue J, Monnet C, Servais T, Cascales-Miñana B. 2022 The Silurian–Devonian terrestrial revolution: Diversity patterns and sampling bias of the vascular plant macrofossil record. Earth-Science Reviews 231, 104085. (doi:10.1016/j.earscirev.2022.104085)</t>
  </si>
  <si>
    <t>Capel et al 2023</t>
  </si>
  <si>
    <t>Capel E, Monnet C, Cleal CJ, Xue J, Servais T, Cascales-Miñana B. 2023 The effect of geological biases on our perception of early land plant radiation. Palaeontology 66, e12644. (doi:10.1111/pala.12644)</t>
  </si>
  <si>
    <t>Ceballos &amp; Ehrlich 2023</t>
  </si>
  <si>
    <t>Ceballos G, Ehrlich PR. 2023 Mutilation of the tree of life via mass extinction of animal genera. Proceedings of the National Academy of Sciences 120, e2306987120. (doi:10.1073/pnas.2306987120)</t>
  </si>
  <si>
    <t>Chen et al 2025</t>
  </si>
  <si>
    <t xml:space="preserve">Chen J, Wang X, Isson T, Gibert Z, Montañez IP, Shen S. 2025 Serpukhovian mass extinction linked to interglacial warming and marine anoxia. GOLDSCHMIDT. </t>
  </si>
  <si>
    <t>Chiarenza et al 2020</t>
  </si>
  <si>
    <t>Chiarenza AA, Farnsworth A, Mannion PD, Lunt DJ, Valdes PJ, Morgan JV, Allison PA. 2020 Asteroid impact, not volcanism, caused the end-Cretaceous dinosaur extinction. Proceedings of the National Academy of Sciences 117, 17084–17093. (doi:10.1073/pnas.2006087117)</t>
  </si>
  <si>
    <t>Crockford et al 2023</t>
  </si>
  <si>
    <t>Crockford PW, On YMB, Ward LM, Milo R, Halevy I. 2023 The geologic history of primary productivity. Current Biology 33, 4741-4750.e5. (doi:10.1016/j.cub.2023.09.040)</t>
  </si>
  <si>
    <t>Da Silva et al 2020</t>
  </si>
  <si>
    <t>Da Silva A-C, Sinnesael M, Claeys P, Davies JHFL, de Winter NJ, Percival LME, Schaltegger U, De Vleeschouwer D. 2020 Anchoring the Late Devonian mass extinction in absolute time by integrating climatic controls and radio-isotopic dating. Sci Rep 10, 12940. (doi:10.1038/s41598-020-69097-6)</t>
  </si>
  <si>
    <t>Dal Corso et al 2020</t>
  </si>
  <si>
    <t>Dal Corso J et al. 2020 Extinction and dawn of the modern world in the Carnian (Late Triassic). Science Advances 6, eaba0099. (doi:10.1126/sciadv.aba0099)</t>
  </si>
  <si>
    <t>Danise et al 2013</t>
  </si>
  <si>
    <t>Danise S, Twitchett RJ, Little CTS, Clémence M-E. 2013 The Impact of Global Warming and Anoxia on Marine Benthic Community Dynamics: an Example from the Toarcian (Early Jurassic). PLOS ONE 8, e56255. (doi:10.1371/journal.pone.0056255)</t>
  </si>
  <si>
    <t>De Vleeschouwer et al 2017</t>
  </si>
  <si>
    <t>De Vleeschouwer D, Da Silva A-C, Sinnesael M, Chen D, Day JE, Whalen MT, Guo Z, Claeys P. 2017 Timing and pacing of the Late Devonian mass extinction event regulated by eccentricity and obliquity. Nat Commun 8, 2268. (doi:10.1038/s41467-017-02407-1)</t>
  </si>
  <si>
    <t>Deng et al 2021</t>
  </si>
  <si>
    <t>Deng Y et al. 2021 Timing and patterns of the Great Ordovician Biodiversification Event and Late Ordovician mass extinction: Perspectives from South China. Earth-Science Reviews 220, 103743. (doi:10.1016/j.earscirev.2021.103743)</t>
  </si>
  <si>
    <t>Donoghue et al 2021</t>
  </si>
  <si>
    <t>Donoghue PCJ, Harrison CJ, Paps J, Schneider H. 2021 The evolutionary emergence of land plants. Current Biology 31, R1281–R1298. (doi:10.1016/j.cub.2021.07.038)</t>
  </si>
  <si>
    <t>Farrell et al 2025</t>
  </si>
  <si>
    <t>Farrell TP, Cothren HR, Sundberg FA, Schmitz MD, Dehler CM, Landing E, Karlstrom KE, Crossey LJ, Hagadorn JW. 2025 Revising the late Cambrian time scale and the duration of the SPICE event using a novel Bayesian age modeling approach. GSA Bulletin 137, 3093–3118. (doi:10.1130/B37919.1)</t>
  </si>
  <si>
    <t>Faulkner et al 2025</t>
  </si>
  <si>
    <t>Faulkner K, Lowery C, Martindale RC, Simpson C, Fraass AJ. 2025 Record of Foraminifera test composition throughout the Phanerozoic. Proc Biol Sci 292. (doi:10.1098/rspb.2025.0221)</t>
  </si>
  <si>
    <t>Foster et al 2018</t>
  </si>
  <si>
    <t>Foster GL, Hull P, Lunt DJ, Zachos JC. 2018 Placing our current ‘hyperthermal’ in the context of rapid climate change in our geological past. Philos Trans A Math Phys Eng Sci 376, 20170086. (doi:10.1098/rsta.2017.0086)</t>
  </si>
  <si>
    <t>Gale et al 2020</t>
  </si>
  <si>
    <t>Gale AS, Mutterlose J, Batenburg S, Gradstein FM, Agterberg FP, Ogg JG, Petrizzo MR. 2020 Chapter 27 - The Cretaceous Period. In Geologic Time Scale 2020 (eds FM Gradstein, JG Ogg, MD Schmitz, GM Ogg), pp. 1023–1086. Elsevier. (doi:10.1016/B978-0-12-824360-2.00027-9)</t>
  </si>
  <si>
    <t>Gangl et al 2019</t>
  </si>
  <si>
    <t>Gangl SK, Moy CM, Stirling CH, Jenkyns HC, Crampton JS, Clarkson MO, Ohneiser C, Porcelli D. 2019 High-resolution records of Oceanic Anoxic Event 2: Insights into the timing, duration and extent of environmental perturbations from the palaeo-South Pacific Ocean. Earth and Planetary Science Letters 518, 172–182. (doi:10.1016/j.epsl.2019.04.028)</t>
  </si>
  <si>
    <t>Goudemand et al 2019</t>
  </si>
  <si>
    <t>Goudemand N, Romano C, Leu M, Bucher H, Trotter JA, Williams IS. 2019 Dynamic interplay between climate and marine biodiversity upheavals during the early Triassic Smithian -Spathian biotic crisis. Earth-Science Reviews 195, 169–178. (doi:10.1016/j.earscirev.2019.01.013)</t>
  </si>
  <si>
    <t>Gradstein et al 2020</t>
  </si>
  <si>
    <t>Gradstein FM, Ogg JD, Schmitz MD, Ogg GM. 2020 Geologic Time Scale 2020. 1st edn. Elsevier. See https://www.elsevier.com/books/geologic-time-scale-2020/gradstein/978-0-12-824360-2.</t>
  </si>
  <si>
    <t>Gulick et al 2019</t>
  </si>
  <si>
    <t>Gulick SPS et al. 2019 The first day of the Cenozoic. Proceedings of the National Academy of Sciences 116, 19342–19351. (doi:10.1073/pnas.1909479116)</t>
  </si>
  <si>
    <t>Gumsley et al 2017</t>
  </si>
  <si>
    <t>Gumsley AP, Chamberlain KR, Bleeker W, Söderlund U, de Kock MO, Larsson ER, Bekker A. 2017 Timing and tempo of the Great Oxidation Event. Proceedings of the National Academy of Sciences 114, 1811–1816. (doi:10.1073/pnas.1608824114)</t>
  </si>
  <si>
    <t>Harper 2024</t>
  </si>
  <si>
    <t>Harper DAT. 2024 Late Ordovician Mass Extinction: Earth, fire and ice. Natl Sci Rev 11, nwad319. (doi:10.1093/nsr/nwad319)</t>
  </si>
  <si>
    <t>Harper et al 2020</t>
  </si>
  <si>
    <t>Harper DAT, Cascales-Miñana B, Servais T. 2020 Early Palaeozoic diversifications and extinctions in the marine biosphere: a continuum of change. Geological Magazine 157, 5–21. (doi:10.1017/S0016756819001298)</t>
  </si>
  <si>
    <t>Hatfield et al 2025</t>
  </si>
  <si>
    <t>Hatfield JH et al. 2025 The Greatest Extinction Event in 66 Million Years? Contextualising Anthropogenic Extinctions. Global Change Biology 31, e70476. (doi:10.1111/gcb.70476)</t>
  </si>
  <si>
    <t>Hesselbo et al 2020</t>
  </si>
  <si>
    <t>Hesselbo SP, Ogg JG, Ruhl M, Hinnov LA, Huang CJ. 2020 Chapter 26 - The Jurassic Period. In Geologic Time Scale 2020 (eds FM Gradstein, JG Ogg, MD Schmitz, GM Ogg), pp. 955–1021. Elsevier. (doi:10.1016/B978-0-12-824360-2.00026-7)</t>
  </si>
  <si>
    <t>Hu et al 2022</t>
  </si>
  <si>
    <t>Hu D, Li M, Zhang X, Wang X, Farquhar J, Xu Y, Sun L, Shen Y. 2022 Multiple S-isotope constraints on environmental changes during the Serpukhovian mass extinction. Earth and Planetary Science Letters 594, 117719. (doi:10.1016/j.epsl.2022.117719)</t>
  </si>
  <si>
    <t>Hua et al 2023</t>
  </si>
  <si>
    <t>Hua F, Shao L, Zhang T, Bond DPG, Wang X, Wang J, Yan Z, Lu J, Hilton J. 2023 An astronomical timescale for the Permian-Triassic mass extinction reveals a two-step, million-year-long terrestrial crisis in South China. Earth and Planetary Science Letters 605, 118035. (doi:10.1016/j.epsl.2023.118035)</t>
  </si>
  <si>
    <t>Huang et al 2018</t>
  </si>
  <si>
    <t>Huang C, Joachimski MM, Gong Y. 2018 Did climate changes trigger the Late Devonian Kellwasser Crisis? Evidence from a high-resolution conodont δ18OPO4 record from South China. Earth and Planetary Science Letters 495, 174–184. (doi:10.1016/j.epsl.2018.05.016)</t>
  </si>
  <si>
    <t>Hutchinson et al 2021</t>
  </si>
  <si>
    <t>Hutchinson DK et al. 2021 The Eocene–Oligocene transition: a review of marine and terrestrial proxy data, models and model–data comparisons. Climate of the Past 17, 269–315. (doi:10.5194/cp-17-269-2021)</t>
  </si>
  <si>
    <t>Izumi 2015</t>
  </si>
  <si>
    <t>Izumi K. 2015 Deposit feeding by the Pliocene deep-sea macrobenthos, synchronized with phytodetritus input: Micropaleontological and geochemical evidence recorded in the trace fossil Phymatoderma. Palaeogeography, Palaeoclimatology, Palaeoecology 431, 15–25. (doi:10.1016/j.palaeo.2015.04.019)</t>
  </si>
  <si>
    <t>Jamart et al 2025</t>
  </si>
  <si>
    <t>Jamart V, Pas D, Adatte T, Spangenberg JE, Laibl L, Daley AC. 2025 The Cambrian ROECE and DICE carbon isotope excursions in western Gondwana (Montagne Noire, southern France): Implications for regional and global correlations of the Miaolingian Series. Palaeogeography, Palaeoclimatology, Palaeoecology 670, 112951. (doi:10.1016/j.palaeo.2025.112951)</t>
  </si>
  <si>
    <t>Jenkyns et al 2018</t>
  </si>
  <si>
    <t>Jenkyns HC. 2018 Transient cooling episodes during Cretaceous Oceanic Anoxic Events with special reference to OAE 1a (Early Aptian). Philosophical Transactions of the Royal Society A: Mathematical, Physical and Engineering Sciences 376, 20170073. (doi:10.1098/rsta.2017.0073)</t>
  </si>
  <si>
    <t>Judd et al 2024</t>
  </si>
  <si>
    <t>Judd EJ, Tierney JE, Lunt DJ, Montañez IP, Huber BT, Wing SL, Valdes PJ. 2024 A 485-million-year history of Earth’s surface temperature. Science 385, eadk3705. (doi:10.1126/science.adk3705)</t>
  </si>
  <si>
    <t>Kabanov et al 2023</t>
  </si>
  <si>
    <t>Kabanov P, Hauck TE, Gouwy SA, Grasby SE, van der Boon A. 2023 Oceanic anoxic events, photic-zone euxinia, and controversy of sea-level fluctuations during the Middle-Late Devonian. Earth-Science Reviews 241, 104415. (doi:10.1016/j.earscirev.2023.104415)</t>
  </si>
  <si>
    <t>Keller 1986</t>
  </si>
  <si>
    <t>Keller G. 1986 Stepwise mass extinctions and impact events: Late Eocene to early Oligocene. Marine Micropaleontology 10, 267–293. (doi:10.1016/0377-8398(86)90032-0)</t>
  </si>
  <si>
    <t>Kiessling et al 2025</t>
  </si>
  <si>
    <t>Kiessling W, Reddin CJ, Dowding EM, Dimitrijević D, Raja NB, Kocsis ÁT. 2025 Marine biological responses to abrupt climate change in deep time. Paleobiology 51, 97–111. (doi:10.1017/pab.2024.20)</t>
  </si>
  <si>
    <t>Knoll &amp; Follows 2016</t>
  </si>
  <si>
    <t>Knoll AH, Follows MJ. 2016 A bottom-up perspective on ecosystem change in Mesozoic oceans. Proc Biol Sci 283. (doi:10.1098/rspb.2016.1755)</t>
  </si>
  <si>
    <t>Kotake 2014</t>
  </si>
  <si>
    <t>Kotake N. 2014 Changes in lifestyle and habitat of Zoophycos-producing animals related to evolution of phytoplankton during the Late Mesozoic: geological evidence for the ‘benthic-pelagic coupling model’. Lethaia 47, 165–175. (doi:10.1111/let.12046)</t>
  </si>
  <si>
    <t>Kwon et al 2022</t>
  </si>
  <si>
    <t>Kwon EY, Timmermann A, Tipple BJ, Schmittner A. 2022 Projected reversal of oceanic stable carbon isotope ratio depth gradient with continued anthropogenic carbon emissions. Commun Earth Environ 3, 62. (doi:10.1038/s43247-022-00388-8)</t>
  </si>
  <si>
    <t>Leclere et al 2020</t>
  </si>
  <si>
    <t>Leclère D et al. 2020 Bending the curve of terrestrial biodiversity needs an integrated strategy. Nature 585, 551–556. (doi:10.1038/s41586-020-2705-y)</t>
  </si>
  <si>
    <t>Lenton et al 2016</t>
  </si>
  <si>
    <t>Lenton TM, Dahl TW, Daines SJ, Mills BJW, Ozaki K, Saltzman MR, Porada P. 2016 Earliest land plants created modern levels of atmospheric oxygen. PNAS 113, 9704–9709. (doi:10.1073/pnas.1604787113)</t>
  </si>
  <si>
    <t>Li et al 2024</t>
  </si>
  <si>
    <t>Li Y et al. 2024 Radioisotopic chronology of Ocean Anoxic Event 1a: Framework for analysis of driving mechanisms. Science Advances 10, eadn8365. (doi:10.1126/sciadv.adn8365)</t>
  </si>
  <si>
    <t>Lowery et al 2018</t>
  </si>
  <si>
    <t>Lowery CM et al. 2018 Rapid recovery of life at ground zero of the end-Cretaceous mass extinction. Nature 558, 288–291. (doi:10.1038/s41586-018-0163-6)</t>
  </si>
  <si>
    <t>Lyons et al 2021</t>
  </si>
  <si>
    <t>Lyons TW, Diamond CW, Planavsky NJ, Reinhard CT, Li C. 2021 Oxygenation, Life, and the Planetary System during Earth’s Middle History: An Overview. Astrobiology 21, 906–923. (doi:10.1089/ast.2020.2418)</t>
  </si>
  <si>
    <t>Mangano et al 2024</t>
  </si>
  <si>
    <t>Mángano MG, Buatois LA, Minter NJ, Gougeon R. 2024 Bioturbators as ecosystem engineers in space and time. Palaeontology 67, e12732. (doi:10.1111/pala.12732)</t>
  </si>
  <si>
    <t>McGhee et al 2013</t>
  </si>
  <si>
    <t>McGhee GR, Clapham ME, Sheehan PM, Bottjer DJ, Droser ML. 2013 A new ecological-severity ranking of major Phanerozoic biodiversity crises. Palaeogeography, Palaeoclimatology, Palaeoecology 370, 260–270. (doi:10.1016/j.palaeo.2012.12.019)</t>
  </si>
  <si>
    <t>McInerney &amp; Wing 2011</t>
  </si>
  <si>
    <t>McInerney FA, Wing SL. 2011 The Paleocene-Eocene Thermal Maximum: A Perturbation of Carbon Cycle, Climate, and Biosphere with Implications for the Future. Annual Review of Earth and Planetary Sciences 39, 489–516. (doi:10.1146/annurev-earth-040610-133431)</t>
  </si>
  <si>
    <t>Melchin et al 2020</t>
  </si>
  <si>
    <t>Melchin MJ, Sadler PM, Cramer BD. 2020 Chapter 21 - The Silurian Period. In Geologic Time Scale 2020 (eds FM Gradstein, JG Ogg, MD Schmitz, GM Ogg), pp. 695–732. Elsevier. (doi:10.1016/B978-0-12-824360-2.00021-8)</t>
  </si>
  <si>
    <t>Miller et al 2017</t>
  </si>
  <si>
    <t>Miller CS, Peterse F, da Silva A-C, Baranyi V, Reichart GJ, Kürschner WM. 2017 Astronomical age constraints and extinction mechanisms of the Late Triassic Carnian crisis. Sci Rep 7, 2557. (doi:10.1038/s41598-017-02817-7)</t>
  </si>
  <si>
    <t>Mills et al 2022</t>
  </si>
  <si>
    <t>Mills DB, Boyle RA, Daines SJ, Sperling EA, Pisani D, Donoghue PCJ, Lenton TM. 2022 Eukaryogenesis and oxygen in Earth history. Nat Ecol Evol 6, 520–532. (doi:10.1038/s41559-022-01733-y)</t>
  </si>
  <si>
    <t>Montanez &amp; Poulsen 2013</t>
  </si>
  <si>
    <t>Montañez IP, Poulsen CJ. 2013 The Late Paleozoic Ice Age: An Evolving Paradigm. Annual Review of Earth and Planetary Sciences 41, 629–656. (doi:10.1146/annurev.earth.031208.100118)</t>
  </si>
  <si>
    <t>Monteiro et al 2016</t>
  </si>
  <si>
    <t>Monteiro FM et al. 2016 Why marine phytoplankton calcify. Science Advances 2, e1501822. (doi:10.1126/sciadv.1501822)</t>
  </si>
  <si>
    <t>Morgan et al 2022</t>
  </si>
  <si>
    <t>Morgan JV, Bralower TJ, Brugger J, Wünnemann K. 2022 The Chicxulub impact and its environmental consequences. Nat Rev Earth Environ 3, 338–354. (doi:10.1038/s43017-022-00283-y)</t>
  </si>
  <si>
    <t>Morris et al 2018</t>
  </si>
  <si>
    <t>Morris JL et al. 2018 The timescale of early land plant evolution. Proceedings of the National Academy of Sciences 115, E2274–E2283. (doi:10.1073/pnas.1719588115)</t>
  </si>
  <si>
    <t>Myrow et al 2014</t>
  </si>
  <si>
    <t>Myrow PM, Ramezani J, Hanson AE, Bowring SA, Racki G, Rakociński M. 2014 High-precision U–Pb age and duration of the latest Devonian (Famennian) Hangenberg event, and its implications. Terra Nova 26, 222–229. (doi:10.1111/ter.12090)</t>
  </si>
  <si>
    <t>Myrow et al 2024</t>
  </si>
  <si>
    <t>Myrow PM, Goodge JW, Brock GA, Betts MJ, Park T-YS, Hughes NC, Gaines RR. 2024 Tectonic trigger to the first major extinction of the Phanerozoic: The early Cambrian Sinsk event. Science Advances 10, eadl3452. (doi:10.1126/sciadv.adl3452)</t>
  </si>
  <si>
    <t>Ogg et al 2020</t>
  </si>
  <si>
    <t>Ogg JG, Chen Z-Q, Orchard MJ, Jiang HS. 2020 Chapter 25 - The Triassic Period. In Geologic Time Scale 2020 (eds FM Gradstein, JG Ogg, MD Schmitz, GM Ogg), pp. 903–953. Elsevier. (doi:10.1016/B978-0-12-824360-2.00025-5)</t>
  </si>
  <si>
    <t>PBScience 2025</t>
  </si>
  <si>
    <t>Planetary Boundaries Science (PBScience). 2025 Planetary Health Check 2025. Potsdam Institute for Climate Impact Research (PIK), Potsdam, Germany (doi:10.48485/pik.2025.017)</t>
  </si>
  <si>
    <t>Pearson et al 2008</t>
  </si>
  <si>
    <t>Pearson PN, McMillan IK, Wade BS, Jones TD, Coxall HK, Bown PR, Lear CH. 2008 Extinction and environmental change across the Eocene-Oligocene boundary in Tanzania. Geology 36, 179–182. (doi:10.1130/G24308A.1)</t>
  </si>
  <si>
    <t>Piedrahita et al 2025</t>
  </si>
  <si>
    <t>Piedrahita VA, Heslop D, Roberts AP, Rohling EJ, Galeotti S, Florindo F, Li J. 2025 Assessing the Duration of the Paleocene-Eocene Thermal Maximum. Geophysical Research Letters 52, e2024GL113117. (doi:10.1029/2024GL113117)</t>
  </si>
  <si>
    <t>Pimiento et al 2017</t>
  </si>
  <si>
    <t>Pimiento C, Griffin JN, Clements CF, Silvestro D, Varela S, Uhen MD, Jaramillo C. 2017 The Pliocene marine megafauna extinction and its impact on functional diversity. Nat Ecol Evol 1, 1100–1106. (doi:10.1038/s41559-017-0223-6)</t>
  </si>
  <si>
    <t>Pimiento et al 2020</t>
  </si>
  <si>
    <t>Pimiento C, Bacon CD, Silvestro D, Hendy A, Jaramillo C, Zizka A, Meyer X, Antonelli A. 2020 Selective extinction against redundant species buffers functional diversity. Proc Biol Sci 287, 20201162. (doi:10.1098/rspb.2020.1162)</t>
  </si>
  <si>
    <t>Ridgwell 2005</t>
  </si>
  <si>
    <t>Ridgwell A. 2005 A Mid Mesozoic Revolution in the regulation of ocean chemistry. Marine Geology 217, 339–357. (doi:10.1016/j.margeo.2004.10.036)</t>
  </si>
  <si>
    <t>Robertson et al 2013</t>
  </si>
  <si>
    <t>Robertson DS, Lewis WM, Sheehan PM, Toon OB. 2013 K-Pg extinction patterns in marine and freshwater environments: The impact winter model. Journal of Geophysical Research: Biogeosciences 118, 1006–1014. (doi:10.1002/jgrg.20086)</t>
  </si>
  <si>
    <t>Rojas et al 2021</t>
  </si>
  <si>
    <t>Rojas A, Calatayud J, Kowalewski M, Neuman M, Rosvall M. 2021 A multiscale view of the Phanerozoic fossil record reveals the three major biotic transitions. Commun Biol 4, 309. (doi:10.1038/s42003-021-01805-y)</t>
  </si>
  <si>
    <t>Romano et al 2016</t>
  </si>
  <si>
    <t>Romano C, Koot MB, Kogan I, Brayard A, Minikh AV, Brinkmann W, Bucher H, Kriwet J. 2016 Permian–Triassic Osteichthyes (bony fishes): diversity dynamics and body size evolution. Biological Reviews 91, 106–147. (doi:10.1111/brv.12161)</t>
  </si>
  <si>
    <t>Ruhl et al 2010</t>
  </si>
  <si>
    <t>Ruhl M, Deenen MHL, Abels HA, Bonis NR, Krijgsman W, Kürschner WM. 2010 Astronomical constraints on the duration of the early Jurassic Hettangian stage and recovery rates following the end-Triassic mass extinction (St Audrie’s Bay/East Quantoxhead, UK). Earth and Planetary Science Letters 295, 262–276. (doi:10.1016/j.epsl.2010.04.008)</t>
  </si>
  <si>
    <t>Rull 2022</t>
  </si>
  <si>
    <t>Rull V. 2022 Biodiversity crisis or sixth mass extinction? EMBO reports 23, e54193. (doi:10.15252/embr.202154193)</t>
  </si>
  <si>
    <t>Schoepfer et al 2022</t>
  </si>
  <si>
    <t>Schoepfer SD, Algeo TJ, van de Schootbrugge B, Whiteside JH. 2022 The Triassic–Jurassic transition – A review of environmental change at the dawn of modern life. Earth-Science Reviews 232, 104099. (doi:10.1016/j.earscirev.2022.104099)</t>
  </si>
  <si>
    <t>Sepkoski 1996</t>
  </si>
  <si>
    <t>Sepkoski JJ. 1996 Patterns of Phanerozoic Extinction: a Perspective from Global Data Bases. In Global Events and Event Stratigraphy in the Phanerozoic: Results of the International Interdisciplinary Cooperation in the IGCP-Project 216 “Global Biological Events in Earth History” (ed OH Walliser), pp. 35–51. Berlin, Heidelberg: Springer. (doi:10.1007/978-3-642-79634-0_4)</t>
  </si>
  <si>
    <t>Sheehan 2001</t>
  </si>
  <si>
    <t>Sheehan PM. 2001 The Late Ordovician Mass Extinction. Annual Review of Earth and Planetary Sciences 29, 331–364. (doi:10.1146/annurev.earth.29.1.331)</t>
  </si>
  <si>
    <t>Shen et al 2018</t>
  </si>
  <si>
    <t>Shen S-Z et al. 2018 A sudden end-Permian mass extinction in South China. GSA Bulletin 131, 205–223. (doi:10.1130/B31909.1)</t>
  </si>
  <si>
    <t>Shi et al 2026</t>
  </si>
  <si>
    <t>Shi W et al. 2026 Subduction modulated the long-term oxygenation of Earth’s surface. Proceedings of the National Academy of Sciences 123, e2534056123. (doi:10.1073/pnas.2534056123)</t>
  </si>
  <si>
    <t>Speijer et al 2012</t>
  </si>
  <si>
    <t>Speijer RP, Scheibner C, Stassen P, Morsi A-MM. 2012 Response of marine ecosystems to deep-time global warming: a synthesis of biotic patterns across the Paleocene-Eocene Thermal Maximum (PETM). Austrian Journal of Earth Sciences 105, 6–16.</t>
  </si>
  <si>
    <t>Sperling et al 2022</t>
  </si>
  <si>
    <t>Sperling EA et al. 2022 Breathless through Time: Oxygen and Animals across Earth’s History. The Biological Bulletin 243, 184–206. (doi:10.1086/721754)</t>
  </si>
  <si>
    <t>Stanley 2016</t>
  </si>
  <si>
    <t>Stanley SM. 2016 Estimates of the magnitudes of major marine mass extinctions in earth history. Proceedings of the National Academy of Sciences 113, E6325–E6334. (doi:10.1073/pnas.1613094113)</t>
  </si>
  <si>
    <t>Stockey et al 2024</t>
  </si>
  <si>
    <t>Stockey RG et al. 2024 Sustained increases in atmospheric oxygen and marine productivity in the Neoproterozoic and Palaeozoic eras. Nat. Geosci. 17, 667–674. (doi:10.1038/s41561-024-01479-1)</t>
  </si>
  <si>
    <t>Strona &amp; Bradshaw 2022</t>
  </si>
  <si>
    <t>Strona G, Bradshaw CJA. 2022 Coextinctions dominate future vertebrate losses from climate and land use change. Science Advances 8, eabn4345. (doi:10.1126/sciadv.abn4345)</t>
  </si>
  <si>
    <t>Tang et al 2024</t>
  </si>
  <si>
    <t>Tang Q et al. 2024 Quantifying the global biodiversity of Proterozoic eukaryotes. Science 386, eadm9137. (doi:10.1126/science.adm9137)</t>
  </si>
  <si>
    <t>Trotter et al 2008</t>
  </si>
  <si>
    <t>Trotter JA, Williams IS, Barnes CR, Lecuyer C, Nicoll RS. 2008 Did Cooling Oceans Trigger Ordovician Biodiversification? Evidence from Conodont Thermometry. Science 321, 550–554. (doi:10.1126/science.1155814)</t>
  </si>
  <si>
    <t>van Woesik et al 2012</t>
  </si>
  <si>
    <t>van Woesik R, Franklin EC, O’Leary J, McClanahan TR, Klaus JS, Budd AF. 2012 Hosts of the Plio-Pleistocene past reflect modern-day coral vulnerability. Proc Biol Sci 279, 2448–2456. (doi:10.1098/rspb.2011.2621)</t>
  </si>
  <si>
    <t>Vellekoop et al 2014</t>
  </si>
  <si>
    <t>Vellekoop J, Sluijs A, Smit J, Schouten S, Weijers JWH, Sinninghe Damsté JS, Brinkhuis H. 2014 Rapid short-term cooling following the Chicxulub impact at the Cretaceous–Paleogene boundary. Proceedings of the National Academy of Sciences 111, 7537–7541. (doi:10.1073/pnas.1319253111)</t>
  </si>
  <si>
    <t>Weppe et al 2023</t>
  </si>
  <si>
    <t>Weppe R, Condamine FL, Guinot G, Maugoust J, Orliac MJ. 2023 Drivers of the artiodactyl turnover in insular western Europe at the Eocene–Oligocene Transition. Proceedings of the National Academy of Sciences 120, e2309945120. (doi:10.1073/pnas.2309945120)</t>
  </si>
  <si>
    <t>Westerhold et al 2020</t>
  </si>
  <si>
    <t>Westerhold T et al. 2020 An astronomically dated record of Earth’s climate and its predictability over the last 66 million years. Science 369, 1383–1387. (doi:10.1126/science.aba6853)</t>
  </si>
  <si>
    <t>Wiens &amp; Saban 2025</t>
  </si>
  <si>
    <t>Wiens JJ, Saban KE. 2025 Recent extinctions of plant and animal genera are rare, localized, and decelerated. PLOS Biology 23, e3003356. (doi:10.1371/journal.pbio.3003356)</t>
  </si>
  <si>
    <t>Wiens &amp; Zelinka  2024</t>
  </si>
  <si>
    <t>Wiens JJ, Zelinka J. 2024 How many species will Earth lose to climate change? Global Change Biology 30, e17125. (doi:10.1111/gcb.17125)</t>
  </si>
  <si>
    <t>Wong Hearing et al 2025</t>
  </si>
  <si>
    <t>Wong Hearing TW, Tindal BH, Vandyk TM, Na L, Pohl A, Liu AG, Harvey THP, Williams M. 2025 Ediacaran coupling of climate and biosphere dynamics. (doi:10.31223/X5S42P)</t>
  </si>
  <si>
    <t>Xu et al 2025</t>
  </si>
  <si>
    <t>Xu Z et al. 2025 Early Triassic super-greenhouse climate driven by vegetation collapse. Nat Commun 16, 5400. (doi:10.1038/s41467-025-60396-y)</t>
  </si>
  <si>
    <t>Yager et al 2017</t>
  </si>
  <si>
    <t>Yager JA, West AJ, Corsetti FA, Berelson WM, Rollins NE, Rosas S, Bottjer DJ. 2017 Duration of and decoupling between carbon isotope excursions during the end-Triassic mass extinction and Central Atlantic Magmatic Province emplacement. Earth and Planetary Science Letters 473, 227–236. (doi:10.1016/j.epsl.2017.05.031)</t>
  </si>
  <si>
    <t>Zeebe &amp; Westbroek 2003</t>
  </si>
  <si>
    <t>Zeebe RE, Westbroek P. 2003 A simple model for the CaCO3 saturation state of the ocean: The “Strangelove,” the “Neritan,” and the “Cretan” Ocean. Geochemistry, Geophysics, Geosystems 4. (doi:10.1029/2003GC000538)</t>
  </si>
  <si>
    <t>Zhang et al 2025</t>
  </si>
  <si>
    <t>Zhang Z et al. 2025 Tempo of the Late Ordovician mass extinction controlled by the rate of climate change. Science Advances 11, eadv6788. (doi:10.1126/sciadv.adv6788)</t>
  </si>
  <si>
    <t>Zhuravlev &amp; Wood 1996</t>
  </si>
  <si>
    <t>Zhuravlev AY, Wood RA. 1996 Anoxia as the cause of the mid-Early Cambrian (Botomian) extinction event. Geology 24, 311–314. (doi:10.1130/0091-7613(1996)024&amp;lt;0311:AATCOT&amp;gt;2.3.CO;2)</t>
  </si>
  <si>
    <t>Zhuravlev &amp; Wood 2018</t>
  </si>
  <si>
    <t>Zhuravlev AY, Wood RA. 2018 The two phases of the Cambrian Explosion. Scientific Reports 8, 16656. (doi:10.1038/s41598-018-34962-y)</t>
  </si>
  <si>
    <t>Zhuravlev et al 2023</t>
  </si>
  <si>
    <t>Zhuravlev AYu, Wood RA, Bowyer FT. 2023 Cambrian radiation speciation events driven by sea level and redoxcline changes on the Siberian Craton. Science Advances 9, eadh2558. (doi:10.1126/sciadv.adh2558)</t>
  </si>
  <si>
    <t>Biotic episode (turnover or extinction)</t>
  </si>
  <si>
    <t>Age (millions of years ago) [a]</t>
  </si>
  <si>
    <t>Duration</t>
  </si>
  <si>
    <t>Proximate cause of biotic event (if known)</t>
  </si>
  <si>
    <t>Background climate state [b]</t>
  </si>
  <si>
    <t>Mean global surface temperature change</t>
  </si>
  <si>
    <t>Ocean deoxygenation (hypoxic or anoxic conditions)</t>
  </si>
  <si>
    <t>Ocean acidification</t>
  </si>
  <si>
    <t>Carbon isotope shift (indicator of carbon cycle disruption)</t>
  </si>
  <si>
    <t xml:space="preserve">Biosphere impact </t>
  </si>
  <si>
    <t>Recent past and contemporary (Quaternary)</t>
  </si>
  <si>
    <t>1000s of years for the anthropogenic extinction episode; maximum impact in last ~200 years</t>
  </si>
  <si>
    <t>Human activity</t>
  </si>
  <si>
    <t>Coldhouse</t>
  </si>
  <si>
    <t>Warming</t>
  </si>
  <si>
    <t>Yes</t>
  </si>
  <si>
    <t>Uncertain; currently at least –1‰ in the surface ocean and –2‰ in the atmosphere (Kwon et al. 2022)</t>
  </si>
  <si>
    <t>Potential mass extinction and significant decline in biomass; instability and loss of ecosystems and functional diversity; human appropriation of primary productivity and concentration of animal and plant biomass in a few species deemed useful for human (70% of bird biomass in chickens; 98% of mammal biomass in humans and farmed animals)</t>
  </si>
  <si>
    <t>Eocene-Oligocene transition (Palaeogene) [c]</t>
  </si>
  <si>
    <t>&lt;1 Myr in total (Hutchinson et al. 2021) with shorter-duration marine extinction events of 5 kyr (Pearson et al. 2008)</t>
  </si>
  <si>
    <t>Climate cooling and reorganisation of ocean circulation with the initiation Antarctic ice sheets</t>
  </si>
  <si>
    <t>Warmhouse</t>
  </si>
  <si>
    <t>Cooling (-1 to -5°C; Hutchinson et al. 2021)</t>
  </si>
  <si>
    <t>No</t>
  </si>
  <si>
    <t>+1.25‰ (following Westerhold et al. 2020)</t>
  </si>
  <si>
    <t>‘Grande Coupure’ of mammals, loss of marine plankton and benthos (see Hutchinson et al 2021)</t>
  </si>
  <si>
    <t>Palaeocene-Eocene Thermal Maximum (Palaeogene)</t>
  </si>
  <si>
    <t>~170 kyr</t>
  </si>
  <si>
    <t xml:space="preserve">Hyperthermal </t>
  </si>
  <si>
    <t>Hothouse</t>
  </si>
  <si>
    <t>Warming (+8°C)</t>
  </si>
  <si>
    <t>Limited?</t>
  </si>
  <si>
    <t>–3 to –5‰ (McInerney and Wing 2011)</t>
  </si>
  <si>
    <t>1 to 20% loss of species</t>
  </si>
  <si>
    <t>Cretaceous-Palaeogene boundary</t>
  </si>
  <si>
    <t>Seconds to millennia for K-Pg boundary extinction; maximum impact duration &lt;20 to 30 years following modelling work (Brugger et al 2017; Chiarenza et al 2020; Morgan et al 2022), but note the wide temporal range of impact on the biosphere during this event</t>
  </si>
  <si>
    <t>Bolide impact (impact winter) on the background of prolonged Deccan Traps volcanism</t>
  </si>
  <si>
    <t>Greenhouse</t>
  </si>
  <si>
    <t xml:space="preserve">Variable (intense fires and month to decadal-scale cooling; Vellekoop et al 2014; Gulick et al 2019) </t>
  </si>
  <si>
    <t>After extinction</t>
  </si>
  <si>
    <t>–2‰</t>
  </si>
  <si>
    <t>Mass extinction, significant loss of biomass</t>
  </si>
  <si>
    <t>OAE-2 (Cenomanian-Turonian; Cretaceous)</t>
  </si>
  <si>
    <t>~500 kyr (Gale et al. 2020, but estimates vary)</t>
  </si>
  <si>
    <t>Uncertain; possibly the Caribbean–Colombian LIP (Gale et al. 2020)</t>
  </si>
  <si>
    <t>+2.5‰ (Gale et al. 2020)</t>
  </si>
  <si>
    <t>20% loss of species</t>
  </si>
  <si>
    <t>OAE-1a (Aptian; Cretaceous)</t>
  </si>
  <si>
    <t>~120</t>
  </si>
  <si>
    <t>1.116 Myr (Gale et al 2020; Li et al 2024)</t>
  </si>
  <si>
    <t>LIP eruptions; possibly the Ontong Java Plateau LIP (Li et al 2024) but note potential age discrepancy; possibly also the emplacement of the Barents Sea Sill Complex (Jenkyns 2018; Gale et al. 2020)</t>
  </si>
  <si>
    <t>Short-lived (&lt;50 kyr) –1 to –1.5‰ excursion followed by longer duration +2‰ excursion (Jenkyns 2018; Gale et al. 2020)</t>
  </si>
  <si>
    <t>22% loss of species</t>
  </si>
  <si>
    <t>T-OAE (Toarcian; Jurassic)</t>
  </si>
  <si>
    <t>~183</t>
  </si>
  <si>
    <t>Likely &gt;1 Myr but possibly as short as ~200 kyr (Hesselbo et al 2020)</t>
  </si>
  <si>
    <t>Karoo-Ferrar LIP eruption possibly with methane hydrate release (Hesslebo et al. 2020)</t>
  </si>
  <si>
    <t>–4 to –7‰ (Hesselbo et al. 2020)</t>
  </si>
  <si>
    <t>15 to 20% loss of species</t>
  </si>
  <si>
    <t>End-Triassic</t>
  </si>
  <si>
    <t>~1.2 Myr (Schoepfer et al 2022)</t>
  </si>
  <si>
    <t>Eruption of the Central Atlantic Magmatic Province (CAMP) LIP</t>
  </si>
  <si>
    <t>Coolhouse</t>
  </si>
  <si>
    <t>Warming (+6°C)</t>
  </si>
  <si>
    <t>–1.5‰ (Foster et al. 2018)</t>
  </si>
  <si>
    <t>Mass extinction: 80% loss of species; significant decline in biomass</t>
  </si>
  <si>
    <t>Carnian (Triassic)</t>
  </si>
  <si>
    <t>~234</t>
  </si>
  <si>
    <t>~1.7 Myr (though possibly as short as 1.2 Myr; Dal Corso et al 2020)</t>
  </si>
  <si>
    <t>Wrangellia LIP</t>
  </si>
  <si>
    <t>Transitional (warming trend)</t>
  </si>
  <si>
    <t>Warming (+7°C)</t>
  </si>
  <si>
    <t>Uncertain</t>
  </si>
  <si>
    <t>Several negative excursions of up to –5‰ (Dal Corso et al. 2020)</t>
  </si>
  <si>
    <t>~35% loss of marine genera, as well as major radiations including of dinoflagellates (Dal Corso et al. 2020)</t>
  </si>
  <si>
    <t>Smithian-Spathian Boundary (Olenekian; Triassic) [d]</t>
  </si>
  <si>
    <t>&lt;1 Myr (Ogg et al 2020)</t>
  </si>
  <si>
    <t>Late-stage Siberian Traps</t>
  </si>
  <si>
    <t>–6 ‰ then +6‰</t>
  </si>
  <si>
    <t>Reset of marine biodiversity to earliest Triassic levels (Ogg et al 2020)</t>
  </si>
  <si>
    <t>Permo-Triassic Mass Extinction</t>
  </si>
  <si>
    <t>~60 ± 48 kyr (Burgess et al 2014) to 31 ± 31 kyr (Shen et al 2018)</t>
  </si>
  <si>
    <t>Siberian Traps</t>
  </si>
  <si>
    <t>Warming (+10°C)</t>
  </si>
  <si>
    <t>Probably</t>
  </si>
  <si>
    <t>–8‰</t>
  </si>
  <si>
    <t>Mass extinction; 90 to 95% loss of species; significant decline in biomass</t>
  </si>
  <si>
    <t>Capitanian biodiversity crisis (end-Guadalupian; Permian)</t>
  </si>
  <si>
    <t>~262</t>
  </si>
  <si>
    <r>
      <t xml:space="preserve">Uncertain; &lt;2 Myr (within the </t>
    </r>
    <r>
      <rPr>
        <i/>
        <sz val="11"/>
        <color theme="1"/>
        <rFont val="Calibri"/>
        <family val="2"/>
        <scheme val="minor"/>
      </rPr>
      <t>Jinogondolella altudaensis</t>
    </r>
    <r>
      <rPr>
        <sz val="11"/>
        <color theme="1"/>
        <rFont val="Calibri"/>
        <family val="2"/>
        <scheme val="minor"/>
      </rPr>
      <t xml:space="preserve"> and </t>
    </r>
    <r>
      <rPr>
        <i/>
        <sz val="11"/>
        <color theme="1"/>
        <rFont val="Calibri"/>
        <family val="2"/>
        <scheme val="minor"/>
      </rPr>
      <t>J. prexuanhanensis</t>
    </r>
    <r>
      <rPr>
        <sz val="11"/>
        <color theme="1"/>
        <rFont val="Calibri"/>
        <family val="2"/>
        <scheme val="minor"/>
      </rPr>
      <t xml:space="preserve"> biozones; Bond et al 2019)</t>
    </r>
  </si>
  <si>
    <t>Emeishan Traps LIP; volcanic winter and photosynthesis shutdown plus heavy metal poisoning</t>
  </si>
  <si>
    <t>Both warming and cooling have been invoked</t>
  </si>
  <si>
    <t>Regionally</t>
  </si>
  <si>
    <t>Possibly</t>
  </si>
  <si>
    <t>–6‰</t>
  </si>
  <si>
    <t>25 to 47% marine genus extinction, especially of reef ecosystems</t>
  </si>
  <si>
    <t>Serpukhovian (late Mississippian; Carboniferous)</t>
  </si>
  <si>
    <t>poorly constrained</t>
  </si>
  <si>
    <t>Possibly interglacial warming plus associated marine anoxia (Chen et al 2025) and prolonged unstable ocean redox conditions (Hu et al 2022) around the onset or early intensification of LPIA glaciation (Montanez &amp; Poulsen 2013)</t>
  </si>
  <si>
    <t>Warming (+5°C in tropics)</t>
  </si>
  <si>
    <t>Negative excursion</t>
  </si>
  <si>
    <t>Possible mass extinction; significant ecological crisis of uncertain magnitude; up to 39% genus-level extinction (McGhee et al 2013) and low levels of speciation</t>
  </si>
  <si>
    <t>Hangenberg Event (end-Famennian; Devonian)</t>
  </si>
  <si>
    <t>&lt;1 Myr; two phases with marine extinction followed by terrestrial extinction pulse (McGhee et al 2013)</t>
  </si>
  <si>
    <t>Pripyat-Dnieper-Donets rift system volcanism or intense glaciation</t>
  </si>
  <si>
    <t>Transitional (background cooling)</t>
  </si>
  <si>
    <t>Warming and cooling?</t>
  </si>
  <si>
    <t>+6‰</t>
  </si>
  <si>
    <t>Poorly understood; estimates range between ~7 to 50% marine genus extinction (see Bond &amp; Grasby 2017)</t>
  </si>
  <si>
    <t>Upper and Lower Kellwasser events (Frasnian – Famennian; Late Devonian)</t>
  </si>
  <si>
    <t>~600 kyr between the Lower and Upper Kellwasser events (De Vleeschouwer et al 2017) with each event lasting ~90 and 110 kyrs (Da Silva et al 2020)</t>
  </si>
  <si>
    <t>Pripyat-Dnieper-Donets rift system volcanism? Viluy Traps? Siljan Ring? Climatic instability?</t>
  </si>
  <si>
    <t xml:space="preserve">Cooling pulses of ~3 and ~6°C in low latitude shallow seas (Huang et al. 2018) </t>
  </si>
  <si>
    <t>+4‰</t>
  </si>
  <si>
    <t>One of the ‘Big 5’ with a particularly pronounced loss of reef ecosystems</t>
  </si>
  <si>
    <t>Taghanic Event (Giventian; Middle Devonian)</t>
  </si>
  <si>
    <t>Uncertain; perhaps ~1 to 2 Myr; diachronous main extinction pulse</t>
  </si>
  <si>
    <t>Uncertain; climatic instability?</t>
  </si>
  <si>
    <t>Possibly extreme warming (“overheating”) at the start of a protracted warming trend (Becker et al. 2020)</t>
  </si>
  <si>
    <t>+2‰</t>
  </si>
  <si>
    <t>Pelagic extinctions (including goniatites) preceded benthic extinctions (including reef ecosystem taxa)</t>
  </si>
  <si>
    <t>Kačák Event (Eifelian; Middle Devonian)</t>
  </si>
  <si>
    <t xml:space="preserve">~370 kyr with main anoxic pulse ~100 kyr (Kabanov et al. 2023) </t>
  </si>
  <si>
    <t>Transitional (becoming warmhouse?)</t>
  </si>
  <si>
    <t xml:space="preserve">Possibly (loss of benthic carbonate production; Kabanov et al. 2023) </t>
  </si>
  <si>
    <t>Several ±1 to 1.5‰ CIEs (Kabanov et al. 2023)</t>
  </si>
  <si>
    <t>Multiphase event with between 6 to 32% genus extinction</t>
  </si>
  <si>
    <t>Lau Event (Ludfordian; Ludlow; Silurian)</t>
  </si>
  <si>
    <t>Uncertain; possibly ~1 Myr (following Melchin et al. 2020)</t>
  </si>
  <si>
    <t>Uncertain; possible ecosystem collapse</t>
  </si>
  <si>
    <t>Cooling</t>
  </si>
  <si>
    <t xml:space="preserve">Extinction of conodonts and graptolites; possible major loss of primary productivity; 20 to 25% marine genus extinction? </t>
  </si>
  <si>
    <t>Mulde Event (Homerian; Wenlock; Silurian)</t>
  </si>
  <si>
    <t>Uncertain; possibly 2 Myr in total; the first excursion may be very short</t>
  </si>
  <si>
    <t>+4‰ (double-spike excursion of +4‰ followed by a partial recovery to ~2‰ and additional +1 ‰ spike before full recovery)</t>
  </si>
  <si>
    <t>Extinction of conodonts and graptolites; possible major loss of primary productivity; 20 to 25% marine genus extinction?</t>
  </si>
  <si>
    <t>Ireviken Event (Sheinwoodian; Wenlock; Silurian)</t>
  </si>
  <si>
    <t>Uncertain; possibly ~1 to 1.5 Myr with a protracted recovery phase?</t>
  </si>
  <si>
    <t>+3‰ then –5‰</t>
  </si>
  <si>
    <t>Late Ordovician Extinction Event (Hirnantian; Late Ordovician)</t>
  </si>
  <si>
    <t>Pulsed event over ~1.4 Myr with two extinction pulses on 10 to 100 kyr timescales (Harper 2024); the major extinction pulses were probably ~340 +460/-340 kyr and ~60 +310/-60 kyr (Zhang et al 2025); there is a possible precursor extinction in the early Katian lasting ~1-2 Myr (Deng et al 2021)</t>
  </si>
  <si>
    <t>Cooling, lower sea level and loss of marine shelf LOME1; followed by warming and ocean anoxia LOME2</t>
  </si>
  <si>
    <t>Icehouse</t>
  </si>
  <si>
    <t>Cooling followed by warming?</t>
  </si>
  <si>
    <t>+7‰ then –7‰</t>
  </si>
  <si>
    <t>One of the ‘Big 5’; ~43 to 73% marine genus extinction</t>
  </si>
  <si>
    <t>Steptoean Positive Carbon Isotope Excursion (SPICE) / End-Marjuman Biomere Extinction (EMBE; Paibian, Cambrian)</t>
  </si>
  <si>
    <t>~2.6 Myr (Farrell et al. 2025)</t>
  </si>
  <si>
    <t>Hothouse or warmhouse</t>
  </si>
  <si>
    <t>Possible cooling</t>
  </si>
  <si>
    <t>+5‰</t>
  </si>
  <si>
    <t>Trilobite biotope extinctions</t>
  </si>
  <si>
    <t>Redlichiid-Olenellid trilobite Extinction Carbon isotope Excursion (ROECE; Cambrian Stage 4–Miaolingian boundary) [e]</t>
  </si>
  <si>
    <t>~507 (following revised age of 506.5 Ma for the base of the Miaolingian)</t>
  </si>
  <si>
    <t>Uncertain; possibly &lt;1 Myr</t>
  </si>
  <si>
    <t>Uncertain; possibly Kalkarindji LIP</t>
  </si>
  <si>
    <t>Possible warming</t>
  </si>
  <si>
    <t>–4 to –5‰</t>
  </si>
  <si>
    <t>Global trilobite extinction</t>
  </si>
  <si>
    <t>Sinsk Event / Archaeocyath Extinction Carbon isotope Excursion (AECE; Cambrian Stage 4) [e]</t>
  </si>
  <si>
    <t>~513</t>
  </si>
  <si>
    <t>–4‰</t>
  </si>
  <si>
    <t>Major extinctions of archaeocyathan reefs and hyoliths and possibly of metazoan phylum stem groups</t>
  </si>
  <si>
    <t xml:space="preserve">[a] For information on timescales and stratigraphical nomenclature used here see Gradstein et al. (2020). </t>
  </si>
  <si>
    <t xml:space="preserve">[b] Background climate state follows Judd et al. (2024) except for Cambrian events which are considered hothouse (early) and hothouse or warmhouse (late). </t>
  </si>
  <si>
    <t xml:space="preserve">[c] The EOT is included in Kiessling et al. (2025) with no warming, no deoxygenation, and no ocean acidification. The biotic event is assigned with “medium” confidence to a climate change cause, which was “likely cooling”. </t>
  </si>
  <si>
    <t xml:space="preserve">[d] It has not been possible to determine a biosphere impact for the Smithian-Spathian boundary episode, so it does not feature in the biosphere impact analyses. </t>
  </si>
  <si>
    <t xml:space="preserve">[e] Two biotic events near the Cambrian Stage 4–Miaolingian boundary are identified here, both of which are linked to negative carbon isotope excursions and expanded marine anoxia. These events are not well understood, but they were critical in shaping the early evolution of animals and anoxia was likely a major driver of the extinctions (see for example Zhuravlev and Wood 1996, 2018). </t>
  </si>
  <si>
    <t>Biotic episode/event</t>
  </si>
  <si>
    <t>Onset age</t>
  </si>
  <si>
    <t>Geological interval</t>
  </si>
  <si>
    <t>Key Earth System changes</t>
  </si>
  <si>
    <t>Key impacts on the incumbent biosphere</t>
  </si>
  <si>
    <t>Long term impact (for e.g. on complexity, functional and taxonomic biodiversity, biomass)</t>
  </si>
  <si>
    <t>Fossil record</t>
  </si>
  <si>
    <t>Humans with sustainable stewardship</t>
  </si>
  <si>
    <t>0.3 Ma for initial onset; nascent for millennia; re-emerging</t>
  </si>
  <si>
    <t>Pleistocene through Anthropocene</t>
  </si>
  <si>
    <t>Contemporary</t>
  </si>
  <si>
    <t>Path-dependent
Some warming on a background coolhouse (assuming some baked-in heating and loss of ice sheets) state followed by limited cooling and climate stabilisation
Temporary ocean deoxygenation and acidification locally</t>
  </si>
  <si>
    <t>Negative: already established biosphere destabilisation and degradation creates a genetic bottleneck effect and irreversible loss of some species and habitats; global biosphere reconfiugration from translocation of non-native species leads to some extinction of incumbent species
Positive: biodiversity decline is ultimately reversed; most incumbent ecosystems are supported back to stability; novel ecologies are fostered with reconfigured complements of species</t>
  </si>
  <si>
    <t>Positive: increased productivity, enhanced biodiversity in novel and human maintained ecosystems (land sparing and land sharing); maintenance and extension of marine protected areas supports long-term stability or seascapes; enhanced mutualism and symbioses as well as hybridisation and speciation supports a more diverse global biosphere</t>
  </si>
  <si>
    <t>Developing</t>
  </si>
  <si>
    <t>Angiosperm Terrestrial Revolution</t>
  </si>
  <si>
    <t>140 Ma for initial diversification
~100 Ma for start of major radiation (Benton et al 2022)</t>
  </si>
  <si>
    <t>Cretaceous to Palaeogene</t>
  </si>
  <si>
    <t>50 to 100 Myr</t>
  </si>
  <si>
    <t>Enhanced habitability of tropical wet biomes</t>
  </si>
  <si>
    <t xml:space="preserve">Negative: competitive replacement of gymnosperm plants                                                                      </t>
  </si>
  <si>
    <t>Positive: more than 80% of standing biomass concentrated on land (most is in angiosperms). Improved photosynthetic efficiency of plants. Enhanced range of symbiotic relationships between plants, fungi, microbes and animals. Terrestrial environments become home to 85 to 95% of all macrospecies diversity</t>
  </si>
  <si>
    <t>Mesozoic Marine Revolution</t>
  </si>
  <si>
    <t>Uncertain; possibly diffuse start
~240 Ma (initial dominance of calcareous over other foraminferal test compositions; Faulkner et al 2025) 
~200 Ma (initial rise of coccolithophores; Brown et al 2004, Monteiro et al 2016) 
~170 Ma (mid-Jurassic change from abiotic to biotic control of marine carbonate ecology; Eichenseer et al 2019) 
~150 Ma (major inflection in number of foraminiferal genera with calcareous tests and increase in number of planktic foraminiferal genera; Faulkner et al 2025)</t>
  </si>
  <si>
    <t>mid-Mesozoic (~Late Triassic through Cretaceous)</t>
  </si>
  <si>
    <t>Uncertain duration due to uncertain onset age 
Calcareous plankton taxonomically and ecologically established by mid-Cretaceous (~100 Ma; e.g. Zeebe &amp; Westbroek 2003, Brown et al 2004, Monteiro et al 2016, Eichenseer et al 2019, Faulkner et al 2025)
Duration estimate from ~50 to 100 Myr (200 or 150 Ma to 100 Ma)</t>
  </si>
  <si>
    <t xml:space="preserve">Evolution and diversification of phytoplankton including mixotrophic dinoflagellates, calcifying nanoplankton, and planktic foraminifera (Knoll &amp; Follows 2016) 
Diversification and increasing abundance of calcifying plankton (notably foraminifera and coccolithophores) changed the ocean carbon cycle and stabilised the ocean carbonate cycle, changed (deepened) the locus of marine carbonate deposition from neritic/platform carbonates to deep ocean settings, and buffered ocean chemistry against extreme perturbations of alkalinity and pH (Zeebe &amp; Westbroek 2003, Ridgwell 2005) 
Ocean chemical cycles and marine calcification control changed from abiotic to biotic (Eichenseer et al 2019)  </t>
  </si>
  <si>
    <t>Positive: increased primary productivity provides greater nutrient flows to higher trophic tiers; new ecological niches from the expansion and diversification of marine phytoplankton</t>
  </si>
  <si>
    <t>Positive: increase in marine primary productivity with more energy flowing to higher trophic tiers (Knoll &amp; Follows 2016); increased ecosystem resilience through stabilisation of marine carbon, carbonate, and pH cycles and damped perturbations (Ridgwell 2005); enhanced energy flow (productivity) from pelagic to benthic realms with onset of marine ecosystem benthic-planktic coupling (Kotake 2014, Izumi 2015, Buatois et al 2016, Knoll &amp; Follows 2016); increase in propotion of skeletal biomass from protists (Singh et al 2025); quadrupling of foraminiferal genus diversity (Faulkner et al 2025)</t>
  </si>
  <si>
    <t>Yes, but very challenging to quantify</t>
  </si>
  <si>
    <t>Terrestrialization of plants</t>
  </si>
  <si>
    <t>~475 Ma for initial colonisation (or possibly earlier: late Cambrian)
Major radiation of vascular plants from ~430 Ma (late Silurian; Morris et al 2018; Donoghue et al 2021)
Established plant biosphere with forests by ~360 Ma (Capel et al 2023)</t>
  </si>
  <si>
    <t>Ordovician through Devonian</t>
  </si>
  <si>
    <t>30 to 100 Ma (main revolution began in the late Silurian ~430 Ma
Initial peak of genus and species diversity in the Early Devonian ~400 Ma (Morris et al 2018; Donoghue et al 2021)
Terrestrial plant biosphere largely established by the Late Devonian ~360 Ma (Capel et al 2023)</t>
  </si>
  <si>
    <t>Changes to hydrology and landforms (meandering rivers), changed terrestrial weathering patterns
Changes to Earth's atmosphere (increased oxygen, especially in the Carboniferous Period)</t>
  </si>
  <si>
    <t>Positive: extension of planetary habitability onto land, forging and extension of symbioses between plants and fungi</t>
  </si>
  <si>
    <t>Positive: enhanced overall biomass, with most concentrated on land; fostered complex interactions between plants, animals, fungi and microbes that enabled greater planetary habitability</t>
  </si>
  <si>
    <t>Great Ordovician Biodiversification Event</t>
  </si>
  <si>
    <t>~490 Ma (onset in the late Cambrian) to ~480 Ma (main increase in diversity from Early Ordovician)
After the SPICE interval (Servais et al 2016)</t>
  </si>
  <si>
    <t>late Cambrian to Middle Ordovician</t>
  </si>
  <si>
    <t>~30 Myr (latest Cambrian ~490 Ma to end of Middle Ordovician ~460 Ma)</t>
  </si>
  <si>
    <t>Global cooling from the warm (super)greenhouse conditions of the Cambrian and Early Ordovician (e.g. Trotter et al 2008)
Diversification of marine phytoplankton from the late Cambrian (Servais et al 2016, Kroeck et al 2022)
Diversification of zooplankton and nekton from the Early Ordovician including graptolites and cephalopods (Servais et al 2016, Harper et al 2020)</t>
  </si>
  <si>
    <t>Negative: competitive replacement of the incumbent "Cambrian evolutionary fauna" with a more diverse range of taxa comprising the "Palaeozoic evolutionary fauna" (Sepkoski 1981, Rojas et al 2021)</t>
  </si>
  <si>
    <t>Positive: diversifying plankton provided increase productivity and fuelled the diversification of phyla which had evolved in the preceding Cambrian Period; approximately 9-fold increase in marine metazoan genus diversity (Harper et al 2020)</t>
  </si>
  <si>
    <t>Cambrian Agronomic Revolution</t>
  </si>
  <si>
    <t>~545 Ma (onset of bioturbation revolution between ~550 to 540 Ma and persisting through to Cambrian Epoch 2; Mángano et al 2024)</t>
  </si>
  <si>
    <t>Ediacaran to Cambrian</t>
  </si>
  <si>
    <t>40 Myr (from ~545 to 507 Ma)</t>
  </si>
  <si>
    <t>Refashioned seabeds through the Cambrian agronomic revolution, refashioned biogeochemical cycles on the land and in the sea, for example the development of the fecal stream (marine snow) in the oceans, and changes to the marine sulfur cycle (see impacts on incumbent biosphere) as a result of marine burrowing organisms</t>
  </si>
  <si>
    <t>Negative: demise of marine microbial mat communities and associated mat 'miners' that characterised the Ediacaran, reduced ecospace for sulfate reducing organisms in marine sediments</t>
  </si>
  <si>
    <t>Positive: instrumental in developing complex marine and terrestrial foodwebs from primary consumers (like ostracods) to tertiary/apex predators (like sharks), thereby facilitating greater taxonomic and functional diversity. Essential for recycling biomass.</t>
  </si>
  <si>
    <t>Neoproterozoic Oxygenation Event</t>
  </si>
  <si>
    <t>Uncertain; possibly ~580 to 540 Ma (Stockey et al 2024) or ~635 to ~540 Ma (Sperling et al 2022) or a broader distributed series of episodes from ~800 to 520 Ma (Lyons et al 2021; Shi et al 2026)</t>
  </si>
  <si>
    <t>Ediacaran (Neoproterozoic)</t>
  </si>
  <si>
    <t>Uncertain
Possibly 20 to 40 Myr for main uplift in atmospheric oxygen
Episodic uplifts and decreases in atmospheric oxygen over ~250 Myr (Shi et al 2026)</t>
  </si>
  <si>
    <t>Increase in atmospheric and shallow marine oxygenation without concomitant increase in deep ocean oxygen concentration (Stockey et al 2024) possibly driven by diversification of algal lineages (Brocks et al 2017; 2023)
Possibly supported by increasing influence of cold subduction (Shi et al 2026)</t>
  </si>
  <si>
    <t>Negative: replacement/displacement/repression of encumbant cyanobacterial and low-oxygen adapted prokaryotes</t>
  </si>
  <si>
    <t>Positive: facilitated evolution of high energy-demand ecologies including motile and predatory metazoans (note this is a permissive threshold rather than a sufficient driver); possible two-fold increase in primary productivity (Stockey et al 2024); possibly ~250% increase in eukaryote species richness and ~100% increase in eukaryote genus richness (Tang et al 2024) but note uncertainty around timing</t>
  </si>
  <si>
    <t>Poor (predominantly biomarkers; eukaryote fossil evidence reviewed in Tang et al 2024; note uncertainty in correlation)</t>
  </si>
  <si>
    <t>Eukaryogenesis (Symbiogenesis)</t>
  </si>
  <si>
    <t>2300 to 1800 Ma (2220 Ma following Mills et al 2022)
LECA &lt;1840 Ma (Betts et al 2018)</t>
  </si>
  <si>
    <t>Palaeoproterozoic</t>
  </si>
  <si>
    <t>Uncertain
10s to 100s Myr</t>
  </si>
  <si>
    <t>Enabled a much more complex biosphere as the building blocks of most multicellular organsisms, and over time thereby extended plantetary habitability (e.g. terrestrialization)
Changed numerous geochemical cycles (phosphorous, nitrogen, carbon, silica)
Facilitated the construction of large structures from reefs to forests</t>
  </si>
  <si>
    <t>Positive: provided a greater range of habitats for bacterial and archaen symbionts to co-exist with; increased ecological adaptability</t>
  </si>
  <si>
    <t>Positive: facilitated the evolution of a multitude of morphologies from tiny unicells to giant trees. Provided a much greater range of habitats/niches for organisms to co-habit, for example bacteria in mammal guts or dinoflagellates in coral reefs. Through the evolution of plants, greatly increased the biomass on Earth and extended habitability onto land</t>
  </si>
  <si>
    <t>Yes (but unquantifiable)</t>
  </si>
  <si>
    <t>Oxygenic photosynthesis</t>
  </si>
  <si>
    <t>2400 Ma (perhaps earlier)</t>
  </si>
  <si>
    <t xml:space="preserve">Archean-Proterozoic boundary </t>
  </si>
  <si>
    <t>200 to 300 Myr</t>
  </si>
  <si>
    <t>Great Oxidation (Oxygenation) Episode (Event) [GOE]
Oxygenation of the atmosphere and hydrosphere, oxidation of surface rocks and minerals (geosphere)
Impact on global climate and cryosphere (cooling and snowball glaciation)
Possibly supported by early influence of cold subduction (Shi et al 2026)</t>
  </si>
  <si>
    <t>Negative: lethal to anaerobic ecologies, likely large scale extinction and short term biomass loss</t>
  </si>
  <si>
    <t>Positive: enabled the surface biosphere to become largely independent of chemical sources of energy, and thus global in extent, utilising light, CO2 and water as the basis for building biomass. Increased biomass, ultimately leading to most (80% +) being locked in the tissues of land plants.  Facilitated development of oxidative phosphorylation, providing much more energy to living cells than anaerobic respiration</t>
  </si>
  <si>
    <t>No (evidence of oxygenation from the geochemical record)</t>
  </si>
  <si>
    <t>RuBisCO enzyme</t>
  </si>
  <si>
    <t>3800 Ma</t>
  </si>
  <si>
    <t>early Archean</t>
  </si>
  <si>
    <t>Uncertain
10s to 100s Myr (evolution of RuBisCo forms I to IV)</t>
  </si>
  <si>
    <t>Ultimately enabled the development of an oxygenated atmosphere and hydrosphere
Enabled the biosphere to become global (and independent of primary chemical sources of energy)
Underpins the acquisition of the primary source of chemical energy for life</t>
  </si>
  <si>
    <t>Positive: enabled fixation of CO2 as organic carbon and thus increased productivity and ultimately biomass</t>
  </si>
  <si>
    <t>Positive: RuBisCO is essential for photosynthesis and is the most abundant enzyme in the world; fundamental to underpining marine and terrestrial foodwebs</t>
  </si>
  <si>
    <t>Horizontal gene transfer</t>
  </si>
  <si>
    <t>4100 to 3700 Ma</t>
  </si>
  <si>
    <t>Latest Hadean to early Archean</t>
  </si>
  <si>
    <t>Uncertain (but probably close to inception of life)</t>
  </si>
  <si>
    <t xml:space="preserve">May have been instrumental in enabling life to cross the Gaian bottleneck, facilitating  innovations that regulated a habitable environment over long timeframes, i.e. maintaining liquid water at Earth's surface over billions of years
Also fundamental for maintaining plate tectonics and a dynamic rock cycle </t>
  </si>
  <si>
    <t>Positive: increased adaptation, emergence of new traits, ability to colonise new niches, enhanced functional diversity 
Negative: increased functional diversity may have impacted taxonomic diversity via competitive replacement</t>
  </si>
  <si>
    <t>Positive: for e.g., likely enabled transfer of key traits, for example RuBisCO genes essential for photosynthesis (see above)</t>
  </si>
  <si>
    <t>interval_name</t>
  </si>
  <si>
    <t>interval_abbreviation</t>
  </si>
  <si>
    <t>big5</t>
  </si>
  <si>
    <t>big3_hatfield</t>
  </si>
  <si>
    <t>type</t>
  </si>
  <si>
    <t>background_climate</t>
  </si>
  <si>
    <t>age_estimate_ma</t>
  </si>
  <si>
    <t>event_duration_min_yr</t>
  </si>
  <si>
    <t>event_duration_max_yr</t>
  </si>
  <si>
    <t>event_duration_est_yr</t>
  </si>
  <si>
    <t>event_duration_notes</t>
  </si>
  <si>
    <t>3100 persistent - sustainable stewardship</t>
  </si>
  <si>
    <t>sustainable stewardship: 3100</t>
  </si>
  <si>
    <t>sustainable stewardship</t>
  </si>
  <si>
    <t>minimum duration of human impacts on decadal scale; minimum duration 150 years by definition; maximum duration up to 50 kyr human impact; extended to 3100 CE</t>
  </si>
  <si>
    <t>3100 transient - business as usual</t>
  </si>
  <si>
    <t>business as usual: 3100</t>
  </si>
  <si>
    <t>business as usual</t>
  </si>
  <si>
    <t>2100 persistent - sustainable stewardship</t>
  </si>
  <si>
    <t>sustainable stewardship: 2100</t>
  </si>
  <si>
    <t>minimum duration of human impacts on decadal scale; minimum duration 150 years by definition; maximum duration up to 50 kyr human impact; most impact likely in 300 years before 2100</t>
  </si>
  <si>
    <t>2100 transient - business as usual</t>
  </si>
  <si>
    <t>business as usual: 2100</t>
  </si>
  <si>
    <t>Recent past</t>
  </si>
  <si>
    <t>humans so far</t>
  </si>
  <si>
    <t>minimum duration of human impacts on decadal scale; minimum duration 70 years assuming a 1950s Anthropocene base; maximum duration up to 50 kyr human impact (e.g. Barnosky 2008); most impact likely in last 200 years</t>
  </si>
  <si>
    <t>Pliocene-Pleistocene transition</t>
  </si>
  <si>
    <t>PP</t>
  </si>
  <si>
    <t>transient</t>
  </si>
  <si>
    <t>main step-up in extinction rates between 3.6 to 2.9 Ma with a peak at ~2.6 Ma (Pimiento et al 2020)</t>
  </si>
  <si>
    <t>Eocene-Oligocene transition</t>
  </si>
  <si>
    <t>EOT</t>
  </si>
  <si>
    <t>&lt;1 Myr in total (Hutchinson et al 2021) with shorter-duration marine extinction events of 5 kyr (Pearson et al 2008)</t>
  </si>
  <si>
    <t>Palaeocene-Eocene Thermal Maximum</t>
  </si>
  <si>
    <t>PETM</t>
  </si>
  <si>
    <t>total duration ~270 ± 20 kyr of which 145 to 195 kyr comprises CIE recovery following Piedrahita et al 2025</t>
  </si>
  <si>
    <t>K-Pg</t>
  </si>
  <si>
    <t>yes</t>
  </si>
  <si>
    <t>minimum duration of seconds following the bolide impact; maximum duration of hundreds of kiloyears for mammal recovery or one to tens of kiloyears for fern recovery (Clyde et al 2016); rapid recovery at the impact site (Lowery et al 2018) suggests that the extinction mechanism operated on timescales less than ocean mixing time (~1 kyr) with an estimated duration of decades to centuries (Chiarenza et al 2020); estimated duration of extinction mechanism on timescale of decades (Robertson et al 2013; Brugger et al 2017; Chiarenza et al 2020; Morgan et al 2022); duration &lt;20 to 30 years following modelling work (Brugger et al 2017; Chiarenza et al 2020; Morgan et al 2022)</t>
  </si>
  <si>
    <t>OAE2 (Cenomanian-Turonian)</t>
  </si>
  <si>
    <t>OAE2</t>
  </si>
  <si>
    <t>GTS 2020 estimate of ~500 kyr (Gale et al 2020); astrochronological estimates suggest &gt;930 kyr for the whole event and ~30 kyr for the onset (Gangl et al 2019)</t>
  </si>
  <si>
    <t>OAE1a (Aptian)</t>
  </si>
  <si>
    <t>OAE1a</t>
  </si>
  <si>
    <t>GTS 2020 estimate of ~1.1 Myr (Gale et al 2020); radiometric constraints agree giving 1.116 +0.087/-0.093 Myr with an onset duration of ~0.115 Myr (Li et al 2024)</t>
  </si>
  <si>
    <t>ATR</t>
  </si>
  <si>
    <t>persistent</t>
  </si>
  <si>
    <t>Warmhouse to hothouse</t>
  </si>
  <si>
    <t>crown angiosperms from ~140 Ma; main increase in diversity from ~100 Ma; Late Cretaceous to early Cenozoic; duration of ~50 to 100 Myr (Benton et al 2022)</t>
  </si>
  <si>
    <t>Jurassic-Cretaceous extinction (Tithonian)</t>
  </si>
  <si>
    <t>Tith</t>
  </si>
  <si>
    <t>highly uncertain magnitude and duration; less than 5 Myr</t>
  </si>
  <si>
    <t>T-OAE (Toarcian)</t>
  </si>
  <si>
    <t>TOAE</t>
  </si>
  <si>
    <t>GTS 2020 estimate of 200 kyr to &gt;1 Myr duration (Hesselbo et al 2020); Boulila et al 2019 support a duration of ~400 to 500 kyr including an onset within one obliquity cycle (~40 kyr)</t>
  </si>
  <si>
    <t>ETME</t>
  </si>
  <si>
    <t>zircon dates suggest an ~100 kyr duration for the event (Blackburn et al 2013); astrochronological calibration suggests ETME could have been as short as 20 to 40 kyr duration with a 120 kyr pre-recovery phase (Ruhl et al 2010) though a more recent study found a longer duration of 85 ± 25 kyr for the main event and a total excursion duration of 1.09 ± 0.07 Myr (Yager et al 2017)</t>
  </si>
  <si>
    <t>Carn</t>
  </si>
  <si>
    <t>astrochronology calibrates five short-lived CIEs to a total duration of 1.09 Myr (Miller et al 2017); other astrochronology agrees that the interval spans two to three 405 kyr cycles with a total duration of 0.8 to 1.2 Myr (Zhang et al 2015)</t>
  </si>
  <si>
    <t>Smithian/Spathian (Triassic)</t>
  </si>
  <si>
    <t>Sm-Sp</t>
  </si>
  <si>
    <t>poorly constrained; GTS 2020 estimates &lt;1 Myr duration (Ogg et al 2020); biozones in Goudemand et al 2019 suggest up to 1.8 Myr is plausible</t>
  </si>
  <si>
    <t>Permo-Triassic mass extinction</t>
  </si>
  <si>
    <t>PTME</t>
  </si>
  <si>
    <t>carbon cycle destabilisation and marine extinction occurred over ~60 ± 48 kyr (Burgess et al 2014; Hua et al 2023) though it may have been as short as ~31 ± 31 kyr (Shen et al 2018); terrestrial extinction phase may have lasted as long as ~1 Myr (Hua et al 2023)</t>
  </si>
  <si>
    <t>End-Guadalupian (Capitanian; Permian)</t>
  </si>
  <si>
    <t>Capt</t>
  </si>
  <si>
    <t>uncertain; likely a mid-Capitanian event &lt;4 Myr duration and within the Jinogondolella altudaensis and Jinogondolella prexuanhanensis biozones possibly 1.5 Myr (Bond et al 2019)</t>
  </si>
  <si>
    <t>Serp</t>
  </si>
  <si>
    <t>redox instability and biotic crises span the Serpukhovian Stage which is ~7 Myr duration (e.g. Hu et al 2022)</t>
  </si>
  <si>
    <t>Hangenberg Event (end-Devonian)</t>
  </si>
  <si>
    <t>Hang</t>
  </si>
  <si>
    <t>radiometric constraints suggest ~50 to 100 kyr for deposition of the Hangenberg Shale (Myrow et al 2014) with the whole interval perhaps up to 300 kyr</t>
  </si>
  <si>
    <t>Frasnian-Famenian (Late Devonian)</t>
  </si>
  <si>
    <t>Fr-Fm</t>
  </si>
  <si>
    <t>Taghanic Event (Giventian, Middle Devonian)</t>
  </si>
  <si>
    <t>Tagh</t>
  </si>
  <si>
    <t>uncertain; perhaps ~1 to 2 Myr; diachronous main extinction pulse</t>
  </si>
  <si>
    <t>Kačák Event (Eifelian, Middle Devonian)</t>
  </si>
  <si>
    <t>Kacak</t>
  </si>
  <si>
    <t xml:space="preserve">~370 kyr with main anoxic pulse ~100 kyr (Kabanov et al 2023) </t>
  </si>
  <si>
    <t>Lau Event (Ludfordian, Ludlow, Silurian)</t>
  </si>
  <si>
    <t>Lau</t>
  </si>
  <si>
    <t>uncertain; possibly ~1 Myr following Melchin et al 2020</t>
  </si>
  <si>
    <t>Mulde Event (Homerian, Wenlock, Silurian)</t>
  </si>
  <si>
    <t>Mulde</t>
  </si>
  <si>
    <t>uncertain; possibly 2 Myr in total; the first excursion may be very short</t>
  </si>
  <si>
    <t>Ireviken Event (Sheinwoodian, Wenlock, Silurian)</t>
  </si>
  <si>
    <t>Irev</t>
  </si>
  <si>
    <t>uncertain; possibly ~1 to 1.5 Myr with a protracted recovery phase?</t>
  </si>
  <si>
    <t>Late Ordovician Mass Extinction</t>
  </si>
  <si>
    <t>LOME</t>
  </si>
  <si>
    <t>mass extinction interval likely &lt;1.4 Myr duration with two pulses of extinction on 10 to 100 kyr timescales (Harper 2024); pulses possibly 340 +460/-340 kyr and 60 +310/-60 kyr following radiometric dates (Zhang et al 2025); possible precursor extinction in the early Katian lasting ~1-2 Myr (Deng et al 2021)</t>
  </si>
  <si>
    <t>Land plant evolution</t>
  </si>
  <si>
    <t>land plants</t>
  </si>
  <si>
    <t>various</t>
  </si>
  <si>
    <t>initial colonisation in late Cambrian or Early Ordovician (Morris et al 2018; Donoghue et al 2021); main revolution began in the late Silurian ~430 Ma with an initial peak of genus and species diversity in the Early Devonian ~400 Ma and a largely established terrestrial plant biosphere by the Late Devonian ~360 Ma (Capel et al 2023)</t>
  </si>
  <si>
    <t>GOBE</t>
  </si>
  <si>
    <t>hothouse to warmhouse (background cooling)</t>
  </si>
  <si>
    <t>event duration ~30 Myr (~490 to ~460 Ma); arguably started earlier, ~500 Ma, and finished later, ~450 Ma (Katian, Late Ordovician)</t>
  </si>
  <si>
    <t>SPICE</t>
  </si>
  <si>
    <t>Warmhouse or hothouse</t>
  </si>
  <si>
    <t>radiometrically constrained to 2.6 +0.9/-0.8 Myr duration (Farrell et al 2025)</t>
  </si>
  <si>
    <t>Redlichiid-Olenellid trilobite Extinction Carbon isotope Excursion (ROECE; Cambrian Stage 4–Miaolingian boundary)</t>
  </si>
  <si>
    <t>ROECE</t>
  </si>
  <si>
    <t>very poorly constrained; likely a short event &lt;1 Myr at or near the Cambrian Series 2-Miaolingian boundary (Jamart et al 2025)</t>
  </si>
  <si>
    <t>Sinsk Event / Archaeocyath Extinction Carbon isotope Excursion (AECE; Cambrian Stage 4)</t>
  </si>
  <si>
    <t>AECE</t>
  </si>
  <si>
    <t>poorly constrained; maximum age range between 514.45 ± 0.36 Ma to 511.87 ± 0.14 Ma (Myrow et al 2024) but likely on the order of 1 Myr or less (Zhuravlev et al 2023)</t>
  </si>
  <si>
    <t>bioturbation</t>
  </si>
  <si>
    <t>began in the late Ediacaran ~545 Ma and persisted through Cambrian Series 2 (i.e. 545 to 506 Ma; e.g. Mangano et al 2024)</t>
  </si>
  <si>
    <t>Eukaryogenesis</t>
  </si>
  <si>
    <t>eukaryotes</t>
  </si>
  <si>
    <t>uncertain</t>
  </si>
  <si>
    <t>inception ~2.22 Ga (Mills et al 2022); duration estimated at tens to hundreds of millions of years with effects spanning billion year timescales</t>
  </si>
  <si>
    <t>Great Oxygenation Event</t>
  </si>
  <si>
    <t>GOE</t>
  </si>
  <si>
    <t>event duration ~200 Myr (Gumsley et al 2017) with effects lasting through eukaryote evolution on billion year timescales</t>
  </si>
  <si>
    <t>disruptor_type</t>
  </si>
  <si>
    <t>metric</t>
  </si>
  <si>
    <t>arithmetic mean</t>
  </si>
  <si>
    <t>median</t>
  </si>
  <si>
    <t>standard deviation</t>
  </si>
  <si>
    <t>maximum</t>
  </si>
  <si>
    <t>minimum</t>
  </si>
  <si>
    <t>count</t>
  </si>
  <si>
    <t>reference</t>
  </si>
  <si>
    <t>change_type</t>
  </si>
  <si>
    <t>change_group</t>
  </si>
  <si>
    <t>change_metric</t>
  </si>
  <si>
    <t>change_value</t>
  </si>
  <si>
    <t>change_per_msy_mgy</t>
  </si>
  <si>
    <t>percentage_change_rate_Myr</t>
  </si>
  <si>
    <t>notes</t>
  </si>
  <si>
    <t>change_type_definition</t>
  </si>
  <si>
    <t>genus</t>
  </si>
  <si>
    <t>global</t>
  </si>
  <si>
    <t>percent</t>
  </si>
  <si>
    <t>assume halting and reversing biosphere degredation by 2100 in an integrated action portfolio (IAP) scenario (Leclere et al 2020) and supporting new symbioses at a rate of at least 10 speciation events per million species years (Thomas 2015)</t>
  </si>
  <si>
    <t>unspecified</t>
  </si>
  <si>
    <t>species</t>
  </si>
  <si>
    <t>change in species; typically richness</t>
  </si>
  <si>
    <t>change in genus; typically richness</t>
  </si>
  <si>
    <t>assuming all 28 % of species at risk of extinction (IUCN) go extinct in the next 1000 years</t>
  </si>
  <si>
    <t>global macroscopic</t>
  </si>
  <si>
    <t>a lower estimate of 10% species extinction by 3100</t>
  </si>
  <si>
    <t>global marine</t>
  </si>
  <si>
    <t>a lower estimate of 5% genus extinction by 3100</t>
  </si>
  <si>
    <t>global terrestrial</t>
  </si>
  <si>
    <t>biomass</t>
  </si>
  <si>
    <t>change in biomass; typically expressed as % pre-existing biomass</t>
  </si>
  <si>
    <t>assume halting and reversing biosphere degredation by 2100 in an integrated action portfolio (IAP) scenario</t>
  </si>
  <si>
    <t>marine invertebrates</t>
  </si>
  <si>
    <t>productivity</t>
  </si>
  <si>
    <t>change in NPP; typically expresses as % pre-existing NPP</t>
  </si>
  <si>
    <t>terrestrial vertebrates</t>
  </si>
  <si>
    <t>Wiens &amp; Zelinka 2024</t>
  </si>
  <si>
    <t>vertebrates</t>
  </si>
  <si>
    <t>SSP5-8.5 scenario</t>
  </si>
  <si>
    <t>benthic foraminifera</t>
  </si>
  <si>
    <t>SSP4-6.0 scenario</t>
  </si>
  <si>
    <t>planktic foraminifera</t>
  </si>
  <si>
    <t>mammals</t>
  </si>
  <si>
    <t>SSP2-4.5 scenario</t>
  </si>
  <si>
    <t>osteichthyans</t>
  </si>
  <si>
    <t>following projections of vertebrate genera extinctions assuming the extinction of endangered monospecific genera (Ceballos &amp; Ehrlich 2023 table 3)</t>
  </si>
  <si>
    <t>terrestrial primary productivity</t>
  </si>
  <si>
    <t>following the baseline (BASE = SSP2) scenario of Leclere et al 2020 (see their fig. 1 and extended data table 1) for 2100 using their peak loss rate for 2010 to 2100; alternative would be to take their linear rate of change for 2010 to 2050 of -0.68 %/decade and apply it to the 90 year interval making a loss rate of 6.12 % over 90 years</t>
  </si>
  <si>
    <t>global plants</t>
  </si>
  <si>
    <t>largely following data in Barnosky 2008</t>
  </si>
  <si>
    <t>global animals</t>
  </si>
  <si>
    <t>megafauna</t>
  </si>
  <si>
    <t>birds</t>
  </si>
  <si>
    <t>HANPP from PBScience 2025</t>
  </si>
  <si>
    <t>habitable shelf space</t>
  </si>
  <si>
    <t>values from extinct genera as proportion of IUCN assessed genera</t>
  </si>
  <si>
    <t>marine megafauna</t>
  </si>
  <si>
    <t>average genus extinction rate by phylum with values from extinct genera as proportion of IUCN assessed genera</t>
  </si>
  <si>
    <t>molluscs</t>
  </si>
  <si>
    <t>extinction rate of all included animal genera with values from extinct genera as proportion of IUCN assessed genera</t>
  </si>
  <si>
    <t>corals</t>
  </si>
  <si>
    <t>tetrapods</t>
  </si>
  <si>
    <t>extinction rate of all included genera with values from extinct genera as proportion of IUCN assessed genera</t>
  </si>
  <si>
    <t>extinction rate of all included plant genera with values from extinct genera as proportion of IUCN assessed genera</t>
  </si>
  <si>
    <t>extinction rate from Ceballos &amp; Ehrlich 2023 calculated in Hatfield et al 2025 table 1</t>
  </si>
  <si>
    <t>extinction rate minimum of marine animals following Bambach 2006 cited in Hatfield et al 2025 table 1</t>
  </si>
  <si>
    <t>extinction rate maximum of marine animals following Bambach 2006 cited in Hatfield et al 2025 table 1</t>
  </si>
  <si>
    <t>following Pimiento et al 2017 cited in Hatfield et al 2025 table 1</t>
  </si>
  <si>
    <t>following Pimiento et al 2020 cited in Hatfield et al 2025 table 1</t>
  </si>
  <si>
    <t>following van Woesik et al 2012 cited in Hatfield et al 2025 table 1</t>
  </si>
  <si>
    <t>no more recent species-level data found; also cited in Bond &amp; Grasby 2017</t>
  </si>
  <si>
    <t>angiosperms alone account for approximately two thirds of the total species of modern biodiverse terrestrial clades; this is a lower estimate as it does not account for symbiotic species</t>
  </si>
  <si>
    <t>time bin 9 includes the angiosperm revolution</t>
  </si>
  <si>
    <t>decline in all osetichthyan groups across Ladinian-Carnian boundary ranges from 51 to 62 %</t>
  </si>
  <si>
    <t>Dal Corso et al 2020 following Sepkoski 1996</t>
  </si>
  <si>
    <t>following the initial radiation only from COPSE simulations of an increase from near zero to 30 to 40 % of modern NPP</t>
  </si>
  <si>
    <t>time bin 8 includes the rise of globally significant land plants</t>
  </si>
  <si>
    <t>Bar-On et al 2018 calculate ~82 % (450 Gt C) of the total 550 Gt C of present biosphere is from plants and that this is ~half its pre-Holocene value; taking 900 Gt C as a pre-Holocene plant biomass value this represents ~900 % increase in biomass from a pre-plant world; most of the present-day terrestrial plant biomass comprises angiosperms but the early plant biosphere would have been gymnosperms</t>
  </si>
  <si>
    <t>~120 plant genera are known from the Late Devonian at the end of the initial radiation of land plants</t>
  </si>
  <si>
    <t>extrapolating 1.5-fold increase from generic to species diversity in the Late Devonian from North American plants using the global genus diversity value of Capel et al 2022</t>
  </si>
  <si>
    <t>Harper et al 2024 fig 6 shows an ~9-fold increase in marine genus diversity from late Cambrian to end of Middle Ordovician</t>
  </si>
  <si>
    <t>Bond &amp; Grasby 2017 calculate marine genus extinction rates of ~60 % for the Dresbachian interval</t>
  </si>
  <si>
    <t>Bond &amp; Grasby 2017 calculate marine genus extinction rates of ~50 % for the "Early to Middle Cambrian" interval which includes the Botoman/Sinsk/AECE/ROECE events</t>
  </si>
  <si>
    <t>time bin 7 includes the Cambrian Agronomic Revolution; time bin 6 recalculated to 0.09 as the geometric mean of time bins 5 and 7 due to order of magnitude error in Crockford spreadsheet</t>
  </si>
  <si>
    <t>assume increase from ~200 Ediacaran species (Wong Hearing et al 2025; excluding ichnotaxa) to 2091 species in the Paleobiology Database for Cambrian Series 2</t>
  </si>
  <si>
    <t>assume increase from ~150 Ediacaran genera (Wong Hearing et al 2025; excluding ichnotaxa) to 1575 genera in the Paleobiology Database for Cambrian Series 2</t>
  </si>
  <si>
    <t>Bar-On et al 2018 calculate ~84 % (473 Gt C) of the total 550 Gt C of present biosphere is from eukaryotes vs ~16 % (77 Gt C) from prokaryotes; this represents ~600 % increase in biomass</t>
  </si>
  <si>
    <t>GOE minimum change comparing calculations 2b to 3b</t>
  </si>
  <si>
    <t>GOE maximum change comparing caluclations 2a to 3a</t>
  </si>
  <si>
    <t>Hatton IA, Heneghan RF, Bar-On YM, Galbraith ED. 2021 The global ocean size spectrum from bacteria to whales. Science Advances 7, eabh3732. (doi:10.1126/sciadv.abh3732)</t>
  </si>
  <si>
    <t>Hatton et al 2021</t>
  </si>
  <si>
    <t>large fish and marine mammals</t>
  </si>
  <si>
    <t>estimate of lost biomass of marine mammals and fish weighing more than 10 g over 20th century due to fishing and whaling (~2 Gt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</si>
</sst>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i/>
      <sz val="11"/>
      <color theme="1"/>
      <name val="Calibri"/>
      <family val="2"/>
      <scheme val="minor"/>
    </font>
    <font>
      <sz val="11"/>
      <name val="Calibri"/>
      <family val="2"/>
      <scheme val="minor"/>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30">
    <xf numFmtId="0" fontId="0" fillId="0" borderId="0" xfId="0"/>
    <xf numFmtId="0" fontId="1" fillId="0" borderId="0" xfId="0" applyFont="1"/>
    <xf numFmtId="11" fontId="0" fillId="0" borderId="0" xfId="0" applyNumberFormat="1"/>
    <xf numFmtId="164" fontId="1" fillId="0" borderId="0" xfId="0" applyNumberFormat="1" applyFont="1"/>
    <xf numFmtId="11" fontId="1" fillId="0" borderId="0" xfId="0" applyNumberFormat="1" applyFont="1"/>
    <xf numFmtId="164" fontId="0" fillId="0" borderId="0" xfId="0" applyNumberFormat="1"/>
    <xf numFmtId="2" fontId="1" fillId="0" borderId="0" xfId="0" applyNumberFormat="1" applyFont="1"/>
    <xf numFmtId="2" fontId="0" fillId="0" borderId="0" xfId="0" applyNumberFormat="1"/>
    <xf numFmtId="3" fontId="0" fillId="0" borderId="0" xfId="0" applyNumberFormat="1"/>
    <xf numFmtId="0" fontId="0" fillId="0" borderId="0" xfId="0" applyAlignment="1">
      <alignment vertical="top" wrapText="1"/>
    </xf>
    <xf numFmtId="0" fontId="0" fillId="0" borderId="0" xfId="0" applyAlignment="1">
      <alignment horizontal="right" vertical="top" wrapText="1"/>
    </xf>
    <xf numFmtId="0" fontId="0" fillId="0" borderId="2" xfId="0" applyBorder="1" applyAlignment="1">
      <alignment vertical="top" wrapText="1"/>
    </xf>
    <xf numFmtId="0" fontId="0" fillId="0" borderId="2" xfId="0" applyBorder="1" applyAlignment="1">
      <alignment horizontal="righ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xf numFmtId="1" fontId="0" fillId="0" borderId="2" xfId="0" applyNumberFormat="1" applyBorder="1"/>
    <xf numFmtId="0" fontId="1" fillId="0" borderId="1" xfId="0" applyFont="1" applyBorder="1"/>
    <xf numFmtId="11" fontId="1" fillId="0" borderId="1" xfId="0" applyNumberFormat="1" applyFont="1" applyBorder="1"/>
    <xf numFmtId="0" fontId="0" fillId="0" borderId="0" xfId="0" applyAlignment="1">
      <alignment wrapText="1"/>
    </xf>
    <xf numFmtId="0" fontId="0" fillId="0" borderId="0" xfId="0" applyAlignment="1">
      <alignment vertical="center" wrapText="1"/>
    </xf>
    <xf numFmtId="0" fontId="5" fillId="0" borderId="0" xfId="0" applyFont="1" applyAlignment="1">
      <alignment horizontal="left" vertical="top" wrapText="1"/>
    </xf>
    <xf numFmtId="0" fontId="1" fillId="0" borderId="1" xfId="0" applyFont="1" applyBorder="1" applyAlignment="1">
      <alignment horizontal="center" wrapText="1"/>
    </xf>
    <xf numFmtId="0" fontId="0" fillId="0" borderId="0" xfId="0" applyAlignment="1">
      <alignment horizontal="left" vertical="top"/>
    </xf>
    <xf numFmtId="0" fontId="0" fillId="0" borderId="0" xfId="0" quotePrefix="1" applyAlignment="1">
      <alignment vertical="top" wrapText="1"/>
    </xf>
    <xf numFmtId="0" fontId="0" fillId="0" borderId="2" xfId="0" quotePrefix="1" applyBorder="1" applyAlignment="1">
      <alignment vertical="top" wrapText="1"/>
    </xf>
    <xf numFmtId="0" fontId="1" fillId="0" borderId="0" xfId="0" applyFont="1" applyAlignment="1">
      <alignment horizont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wrapText="1"/>
    </xf>
  </cellXfs>
  <cellStyles count="1">
    <cellStyle name="Normal" xfId="0" builtinId="0"/>
  </cellStyles>
  <dxfs count="1">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601E-B347-446D-A712-70936A067664}">
  <dimension ref="A1:B16"/>
  <sheetViews>
    <sheetView zoomScale="80" zoomScaleNormal="80" workbookViewId="0"/>
  </sheetViews>
  <sheetFormatPr defaultRowHeight="14.5" x14ac:dyDescent="0.35"/>
  <cols>
    <col min="1" max="1" width="31" customWidth="1"/>
  </cols>
  <sheetData>
    <row r="1" spans="1:2" x14ac:dyDescent="0.35">
      <c r="A1" s="1" t="s">
        <v>0</v>
      </c>
    </row>
    <row r="3" spans="1:2" x14ac:dyDescent="0.35">
      <c r="A3" s="1" t="s">
        <v>1</v>
      </c>
    </row>
    <row r="4" spans="1:2" x14ac:dyDescent="0.35">
      <c r="A4" t="s">
        <v>2</v>
      </c>
      <c r="B4" t="s">
        <v>3</v>
      </c>
    </row>
    <row r="5" spans="1:2" x14ac:dyDescent="0.35">
      <c r="A5" t="s">
        <v>4</v>
      </c>
      <c r="B5" t="s">
        <v>5</v>
      </c>
    </row>
    <row r="6" spans="1:2" x14ac:dyDescent="0.35">
      <c r="A6" t="s">
        <v>6</v>
      </c>
      <c r="B6" t="s">
        <v>7</v>
      </c>
    </row>
    <row r="7" spans="1:2" x14ac:dyDescent="0.35">
      <c r="A7" t="s">
        <v>8</v>
      </c>
      <c r="B7" t="s">
        <v>9</v>
      </c>
    </row>
    <row r="8" spans="1:2" x14ac:dyDescent="0.35">
      <c r="A8" t="s">
        <v>10</v>
      </c>
      <c r="B8" t="s">
        <v>11</v>
      </c>
    </row>
    <row r="9" spans="1:2" x14ac:dyDescent="0.35">
      <c r="A9" t="s">
        <v>12</v>
      </c>
      <c r="B9" t="s">
        <v>13</v>
      </c>
    </row>
    <row r="16" spans="1:2" x14ac:dyDescent="0.35">
      <c r="A16"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E71A-C3BA-4E9A-8679-88DDD26ECF27}">
  <dimension ref="A1:B114"/>
  <sheetViews>
    <sheetView zoomScale="80" zoomScaleNormal="80" workbookViewId="0">
      <pane ySplit="1" topLeftCell="A2" activePane="bottomLeft" state="frozen"/>
      <selection pane="bottomLeft" activeCell="A3" sqref="A3:B114"/>
    </sheetView>
  </sheetViews>
  <sheetFormatPr defaultRowHeight="14.5" x14ac:dyDescent="0.35"/>
  <cols>
    <col min="1" max="1" width="24.54296875" bestFit="1" customWidth="1"/>
    <col min="2" max="2" width="29.81640625" customWidth="1"/>
  </cols>
  <sheetData>
    <row r="1" spans="1:2" s="1" customFormat="1" x14ac:dyDescent="0.35">
      <c r="A1" s="1" t="s">
        <v>14</v>
      </c>
      <c r="B1" s="1" t="s">
        <v>15</v>
      </c>
    </row>
    <row r="2" spans="1:2" x14ac:dyDescent="0.35">
      <c r="A2" t="s">
        <v>16</v>
      </c>
      <c r="B2" t="s">
        <v>17</v>
      </c>
    </row>
    <row r="3" spans="1:2" x14ac:dyDescent="0.35">
      <c r="A3" t="s">
        <v>18</v>
      </c>
      <c r="B3" t="s">
        <v>19</v>
      </c>
    </row>
    <row r="4" spans="1:2" x14ac:dyDescent="0.35">
      <c r="A4" t="s">
        <v>20</v>
      </c>
      <c r="B4" t="s">
        <v>21</v>
      </c>
    </row>
    <row r="5" spans="1:2" x14ac:dyDescent="0.35">
      <c r="A5" t="s">
        <v>22</v>
      </c>
      <c r="B5" t="s">
        <v>23</v>
      </c>
    </row>
    <row r="6" spans="1:2" x14ac:dyDescent="0.35">
      <c r="A6" t="s">
        <v>24</v>
      </c>
      <c r="B6" t="s">
        <v>25</v>
      </c>
    </row>
    <row r="7" spans="1:2" x14ac:dyDescent="0.35">
      <c r="A7" t="s">
        <v>26</v>
      </c>
      <c r="B7" t="s">
        <v>27</v>
      </c>
    </row>
    <row r="8" spans="1:2" x14ac:dyDescent="0.35">
      <c r="A8" t="s">
        <v>28</v>
      </c>
      <c r="B8" t="s">
        <v>29</v>
      </c>
    </row>
    <row r="9" spans="1:2" x14ac:dyDescent="0.35">
      <c r="A9" t="s">
        <v>30</v>
      </c>
      <c r="B9" t="s">
        <v>31</v>
      </c>
    </row>
    <row r="10" spans="1:2" x14ac:dyDescent="0.35">
      <c r="A10" t="s">
        <v>32</v>
      </c>
      <c r="B10" t="s">
        <v>33</v>
      </c>
    </row>
    <row r="11" spans="1:2" x14ac:dyDescent="0.35">
      <c r="A11" t="s">
        <v>34</v>
      </c>
      <c r="B11" t="s">
        <v>35</v>
      </c>
    </row>
    <row r="12" spans="1:2" x14ac:dyDescent="0.35">
      <c r="A12" t="s">
        <v>36</v>
      </c>
      <c r="B12" t="s">
        <v>37</v>
      </c>
    </row>
    <row r="13" spans="1:2" x14ac:dyDescent="0.35">
      <c r="A13" t="s">
        <v>38</v>
      </c>
      <c r="B13" t="s">
        <v>39</v>
      </c>
    </row>
    <row r="14" spans="1:2" x14ac:dyDescent="0.35">
      <c r="A14" t="s">
        <v>40</v>
      </c>
      <c r="B14" t="s">
        <v>41</v>
      </c>
    </row>
    <row r="15" spans="1:2" x14ac:dyDescent="0.35">
      <c r="A15" t="s">
        <v>42</v>
      </c>
      <c r="B15" t="s">
        <v>43</v>
      </c>
    </row>
    <row r="16" spans="1:2" x14ac:dyDescent="0.35">
      <c r="A16" t="s">
        <v>44</v>
      </c>
      <c r="B16" t="s">
        <v>45</v>
      </c>
    </row>
    <row r="17" spans="1:2" x14ac:dyDescent="0.35">
      <c r="A17" t="s">
        <v>46</v>
      </c>
      <c r="B17" t="s">
        <v>47</v>
      </c>
    </row>
    <row r="18" spans="1:2" x14ac:dyDescent="0.35">
      <c r="A18" t="s">
        <v>48</v>
      </c>
      <c r="B18" t="s">
        <v>49</v>
      </c>
    </row>
    <row r="19" spans="1:2" x14ac:dyDescent="0.35">
      <c r="A19" t="s">
        <v>50</v>
      </c>
      <c r="B19" t="s">
        <v>51</v>
      </c>
    </row>
    <row r="20" spans="1:2" x14ac:dyDescent="0.35">
      <c r="A20" t="s">
        <v>52</v>
      </c>
      <c r="B20" t="s">
        <v>53</v>
      </c>
    </row>
    <row r="21" spans="1:2" x14ac:dyDescent="0.35">
      <c r="A21" t="s">
        <v>54</v>
      </c>
      <c r="B21" t="s">
        <v>55</v>
      </c>
    </row>
    <row r="22" spans="1:2" x14ac:dyDescent="0.35">
      <c r="A22" t="s">
        <v>56</v>
      </c>
      <c r="B22" t="s">
        <v>57</v>
      </c>
    </row>
    <row r="23" spans="1:2" x14ac:dyDescent="0.35">
      <c r="A23" t="s">
        <v>58</v>
      </c>
      <c r="B23" t="s">
        <v>59</v>
      </c>
    </row>
    <row r="24" spans="1:2" x14ac:dyDescent="0.35">
      <c r="A24" t="s">
        <v>60</v>
      </c>
      <c r="B24" t="s">
        <v>61</v>
      </c>
    </row>
    <row r="25" spans="1:2" x14ac:dyDescent="0.35">
      <c r="A25" t="s">
        <v>62</v>
      </c>
      <c r="B25" t="s">
        <v>63</v>
      </c>
    </row>
    <row r="26" spans="1:2" x14ac:dyDescent="0.35">
      <c r="A26" t="s">
        <v>64</v>
      </c>
      <c r="B26" t="s">
        <v>65</v>
      </c>
    </row>
    <row r="27" spans="1:2" x14ac:dyDescent="0.35">
      <c r="A27" t="s">
        <v>66</v>
      </c>
      <c r="B27" t="s">
        <v>67</v>
      </c>
    </row>
    <row r="28" spans="1:2" x14ac:dyDescent="0.35">
      <c r="A28" t="s">
        <v>68</v>
      </c>
      <c r="B28" t="s">
        <v>69</v>
      </c>
    </row>
    <row r="29" spans="1:2" x14ac:dyDescent="0.35">
      <c r="A29" t="s">
        <v>70</v>
      </c>
      <c r="B29" t="s">
        <v>71</v>
      </c>
    </row>
    <row r="30" spans="1:2" x14ac:dyDescent="0.35">
      <c r="A30" t="s">
        <v>72</v>
      </c>
      <c r="B30" t="s">
        <v>73</v>
      </c>
    </row>
    <row r="31" spans="1:2" x14ac:dyDescent="0.35">
      <c r="A31" t="s">
        <v>74</v>
      </c>
      <c r="B31" t="s">
        <v>75</v>
      </c>
    </row>
    <row r="32" spans="1:2" x14ac:dyDescent="0.35">
      <c r="A32" t="s">
        <v>76</v>
      </c>
      <c r="B32" t="s">
        <v>77</v>
      </c>
    </row>
    <row r="33" spans="1:2" x14ac:dyDescent="0.35">
      <c r="A33" t="s">
        <v>78</v>
      </c>
      <c r="B33" t="s">
        <v>79</v>
      </c>
    </row>
    <row r="34" spans="1:2" x14ac:dyDescent="0.35">
      <c r="A34" t="s">
        <v>80</v>
      </c>
      <c r="B34" t="s">
        <v>81</v>
      </c>
    </row>
    <row r="35" spans="1:2" x14ac:dyDescent="0.35">
      <c r="A35" t="s">
        <v>82</v>
      </c>
      <c r="B35" t="s">
        <v>83</v>
      </c>
    </row>
    <row r="36" spans="1:2" x14ac:dyDescent="0.35">
      <c r="A36" t="s">
        <v>84</v>
      </c>
      <c r="B36" t="s">
        <v>85</v>
      </c>
    </row>
    <row r="37" spans="1:2" x14ac:dyDescent="0.35">
      <c r="A37" t="s">
        <v>86</v>
      </c>
      <c r="B37" t="s">
        <v>87</v>
      </c>
    </row>
    <row r="38" spans="1:2" x14ac:dyDescent="0.35">
      <c r="A38" t="s">
        <v>88</v>
      </c>
      <c r="B38" t="s">
        <v>89</v>
      </c>
    </row>
    <row r="39" spans="1:2" x14ac:dyDescent="0.35">
      <c r="A39" t="s">
        <v>90</v>
      </c>
      <c r="B39" t="s">
        <v>91</v>
      </c>
    </row>
    <row r="40" spans="1:2" x14ac:dyDescent="0.35">
      <c r="A40" t="s">
        <v>92</v>
      </c>
      <c r="B40" t="s">
        <v>93</v>
      </c>
    </row>
    <row r="41" spans="1:2" x14ac:dyDescent="0.35">
      <c r="A41" t="s">
        <v>94</v>
      </c>
      <c r="B41" t="s">
        <v>95</v>
      </c>
    </row>
    <row r="42" spans="1:2" x14ac:dyDescent="0.35">
      <c r="A42" t="s">
        <v>96</v>
      </c>
      <c r="B42" t="s">
        <v>97</v>
      </c>
    </row>
    <row r="43" spans="1:2" x14ac:dyDescent="0.35">
      <c r="A43" t="s">
        <v>98</v>
      </c>
      <c r="B43" t="s">
        <v>99</v>
      </c>
    </row>
    <row r="44" spans="1:2" x14ac:dyDescent="0.35">
      <c r="A44" t="s">
        <v>707</v>
      </c>
      <c r="B44" t="s">
        <v>706</v>
      </c>
    </row>
    <row r="45" spans="1:2" x14ac:dyDescent="0.35">
      <c r="A45" t="s">
        <v>100</v>
      </c>
      <c r="B45" t="s">
        <v>101</v>
      </c>
    </row>
    <row r="46" spans="1:2" x14ac:dyDescent="0.35">
      <c r="A46" t="s">
        <v>102</v>
      </c>
      <c r="B46" t="s">
        <v>103</v>
      </c>
    </row>
    <row r="47" spans="1:2" x14ac:dyDescent="0.35">
      <c r="A47" t="s">
        <v>104</v>
      </c>
      <c r="B47" t="s">
        <v>105</v>
      </c>
    </row>
    <row r="48" spans="1:2" x14ac:dyDescent="0.35">
      <c r="A48" t="s">
        <v>106</v>
      </c>
      <c r="B48" t="s">
        <v>107</v>
      </c>
    </row>
    <row r="49" spans="1:2" x14ac:dyDescent="0.35">
      <c r="A49" t="s">
        <v>108</v>
      </c>
      <c r="B49" t="s">
        <v>109</v>
      </c>
    </row>
    <row r="50" spans="1:2" x14ac:dyDescent="0.35">
      <c r="A50" t="s">
        <v>110</v>
      </c>
      <c r="B50" t="s">
        <v>111</v>
      </c>
    </row>
    <row r="51" spans="1:2" x14ac:dyDescent="0.35">
      <c r="A51" t="s">
        <v>112</v>
      </c>
      <c r="B51" t="s">
        <v>113</v>
      </c>
    </row>
    <row r="52" spans="1:2" x14ac:dyDescent="0.35">
      <c r="A52" t="s">
        <v>114</v>
      </c>
      <c r="B52" t="s">
        <v>115</v>
      </c>
    </row>
    <row r="53" spans="1:2" x14ac:dyDescent="0.35">
      <c r="A53" t="s">
        <v>116</v>
      </c>
      <c r="B53" t="s">
        <v>117</v>
      </c>
    </row>
    <row r="54" spans="1:2" x14ac:dyDescent="0.35">
      <c r="A54" t="s">
        <v>118</v>
      </c>
      <c r="B54" t="s">
        <v>119</v>
      </c>
    </row>
    <row r="55" spans="1:2" x14ac:dyDescent="0.35">
      <c r="A55" t="s">
        <v>120</v>
      </c>
      <c r="B55" t="s">
        <v>121</v>
      </c>
    </row>
    <row r="56" spans="1:2" x14ac:dyDescent="0.35">
      <c r="A56" t="s">
        <v>122</v>
      </c>
      <c r="B56" t="s">
        <v>123</v>
      </c>
    </row>
    <row r="57" spans="1:2" x14ac:dyDescent="0.35">
      <c r="A57" t="s">
        <v>124</v>
      </c>
      <c r="B57" t="s">
        <v>125</v>
      </c>
    </row>
    <row r="58" spans="1:2" x14ac:dyDescent="0.35">
      <c r="A58" t="s">
        <v>126</v>
      </c>
      <c r="B58" t="s">
        <v>127</v>
      </c>
    </row>
    <row r="59" spans="1:2" x14ac:dyDescent="0.35">
      <c r="A59" t="s">
        <v>128</v>
      </c>
      <c r="B59" t="s">
        <v>129</v>
      </c>
    </row>
    <row r="60" spans="1:2" x14ac:dyDescent="0.35">
      <c r="A60" t="s">
        <v>130</v>
      </c>
      <c r="B60" t="s">
        <v>131</v>
      </c>
    </row>
    <row r="61" spans="1:2" x14ac:dyDescent="0.35">
      <c r="A61" t="s">
        <v>132</v>
      </c>
      <c r="B61" t="s">
        <v>133</v>
      </c>
    </row>
    <row r="62" spans="1:2" x14ac:dyDescent="0.35">
      <c r="A62" t="s">
        <v>134</v>
      </c>
      <c r="B62" t="s">
        <v>135</v>
      </c>
    </row>
    <row r="63" spans="1:2" x14ac:dyDescent="0.35">
      <c r="A63" t="s">
        <v>136</v>
      </c>
      <c r="B63" t="s">
        <v>137</v>
      </c>
    </row>
    <row r="64" spans="1:2" x14ac:dyDescent="0.35">
      <c r="A64" t="s">
        <v>138</v>
      </c>
      <c r="B64" t="s">
        <v>139</v>
      </c>
    </row>
    <row r="65" spans="1:2" x14ac:dyDescent="0.35">
      <c r="A65" t="s">
        <v>140</v>
      </c>
      <c r="B65" t="s">
        <v>141</v>
      </c>
    </row>
    <row r="66" spans="1:2" x14ac:dyDescent="0.35">
      <c r="A66" t="s">
        <v>142</v>
      </c>
      <c r="B66" t="s">
        <v>143</v>
      </c>
    </row>
    <row r="67" spans="1:2" x14ac:dyDescent="0.35">
      <c r="A67" t="s">
        <v>144</v>
      </c>
      <c r="B67" t="s">
        <v>145</v>
      </c>
    </row>
    <row r="68" spans="1:2" x14ac:dyDescent="0.35">
      <c r="A68" t="s">
        <v>146</v>
      </c>
      <c r="B68" t="s">
        <v>147</v>
      </c>
    </row>
    <row r="69" spans="1:2" x14ac:dyDescent="0.35">
      <c r="A69" t="s">
        <v>148</v>
      </c>
      <c r="B69" t="s">
        <v>149</v>
      </c>
    </row>
    <row r="70" spans="1:2" x14ac:dyDescent="0.35">
      <c r="A70" t="s">
        <v>150</v>
      </c>
      <c r="B70" t="s">
        <v>151</v>
      </c>
    </row>
    <row r="71" spans="1:2" x14ac:dyDescent="0.35">
      <c r="A71" t="s">
        <v>152</v>
      </c>
      <c r="B71" t="s">
        <v>153</v>
      </c>
    </row>
    <row r="72" spans="1:2" x14ac:dyDescent="0.35">
      <c r="A72" t="s">
        <v>154</v>
      </c>
      <c r="B72" t="s">
        <v>155</v>
      </c>
    </row>
    <row r="73" spans="1:2" x14ac:dyDescent="0.35">
      <c r="A73" t="s">
        <v>156</v>
      </c>
      <c r="B73" t="s">
        <v>157</v>
      </c>
    </row>
    <row r="74" spans="1:2" x14ac:dyDescent="0.35">
      <c r="A74" t="s">
        <v>158</v>
      </c>
      <c r="B74" t="s">
        <v>159</v>
      </c>
    </row>
    <row r="75" spans="1:2" x14ac:dyDescent="0.35">
      <c r="A75" t="s">
        <v>160</v>
      </c>
      <c r="B75" t="s">
        <v>161</v>
      </c>
    </row>
    <row r="76" spans="1:2" x14ac:dyDescent="0.35">
      <c r="A76" t="s">
        <v>162</v>
      </c>
      <c r="B76" t="s">
        <v>163</v>
      </c>
    </row>
    <row r="77" spans="1:2" x14ac:dyDescent="0.35">
      <c r="A77" t="s">
        <v>164</v>
      </c>
      <c r="B77" t="s">
        <v>165</v>
      </c>
    </row>
    <row r="78" spans="1:2" x14ac:dyDescent="0.35">
      <c r="A78" t="s">
        <v>166</v>
      </c>
      <c r="B78" t="s">
        <v>167</v>
      </c>
    </row>
    <row r="79" spans="1:2" x14ac:dyDescent="0.35">
      <c r="A79" t="s">
        <v>168</v>
      </c>
      <c r="B79" t="s">
        <v>169</v>
      </c>
    </row>
    <row r="80" spans="1:2" x14ac:dyDescent="0.35">
      <c r="A80" t="s">
        <v>170</v>
      </c>
      <c r="B80" t="s">
        <v>171</v>
      </c>
    </row>
    <row r="81" spans="1:2" x14ac:dyDescent="0.35">
      <c r="A81" t="s">
        <v>172</v>
      </c>
      <c r="B81" t="s">
        <v>173</v>
      </c>
    </row>
    <row r="82" spans="1:2" x14ac:dyDescent="0.35">
      <c r="A82" t="s">
        <v>174</v>
      </c>
      <c r="B82" t="s">
        <v>175</v>
      </c>
    </row>
    <row r="83" spans="1:2" x14ac:dyDescent="0.35">
      <c r="A83" t="s">
        <v>176</v>
      </c>
      <c r="B83" t="s">
        <v>177</v>
      </c>
    </row>
    <row r="84" spans="1:2" x14ac:dyDescent="0.35">
      <c r="A84" t="s">
        <v>178</v>
      </c>
      <c r="B84" t="s">
        <v>179</v>
      </c>
    </row>
    <row r="85" spans="1:2" x14ac:dyDescent="0.35">
      <c r="A85" t="s">
        <v>180</v>
      </c>
      <c r="B85" t="s">
        <v>181</v>
      </c>
    </row>
    <row r="86" spans="1:2" x14ac:dyDescent="0.35">
      <c r="A86" t="s">
        <v>182</v>
      </c>
      <c r="B86" t="s">
        <v>183</v>
      </c>
    </row>
    <row r="87" spans="1:2" x14ac:dyDescent="0.35">
      <c r="A87" t="s">
        <v>184</v>
      </c>
      <c r="B87" t="s">
        <v>185</v>
      </c>
    </row>
    <row r="88" spans="1:2" x14ac:dyDescent="0.35">
      <c r="A88" t="s">
        <v>186</v>
      </c>
      <c r="B88" t="s">
        <v>187</v>
      </c>
    </row>
    <row r="89" spans="1:2" x14ac:dyDescent="0.35">
      <c r="A89" t="s">
        <v>188</v>
      </c>
      <c r="B89" t="s">
        <v>189</v>
      </c>
    </row>
    <row r="90" spans="1:2" x14ac:dyDescent="0.35">
      <c r="A90" t="s">
        <v>190</v>
      </c>
      <c r="B90" t="s">
        <v>191</v>
      </c>
    </row>
    <row r="91" spans="1:2" x14ac:dyDescent="0.35">
      <c r="A91" t="s">
        <v>192</v>
      </c>
      <c r="B91" t="s">
        <v>193</v>
      </c>
    </row>
    <row r="92" spans="1:2" x14ac:dyDescent="0.35">
      <c r="A92" t="s">
        <v>194</v>
      </c>
      <c r="B92" t="s">
        <v>195</v>
      </c>
    </row>
    <row r="93" spans="1:2" x14ac:dyDescent="0.35">
      <c r="A93" t="s">
        <v>196</v>
      </c>
      <c r="B93" t="s">
        <v>197</v>
      </c>
    </row>
    <row r="94" spans="1:2" x14ac:dyDescent="0.35">
      <c r="A94" t="s">
        <v>198</v>
      </c>
      <c r="B94" t="s">
        <v>199</v>
      </c>
    </row>
    <row r="95" spans="1:2" x14ac:dyDescent="0.35">
      <c r="A95" t="s">
        <v>200</v>
      </c>
      <c r="B95" t="s">
        <v>201</v>
      </c>
    </row>
    <row r="96" spans="1:2" x14ac:dyDescent="0.35">
      <c r="A96" t="s">
        <v>202</v>
      </c>
      <c r="B96" t="s">
        <v>203</v>
      </c>
    </row>
    <row r="97" spans="1:2" x14ac:dyDescent="0.35">
      <c r="A97" t="s">
        <v>204</v>
      </c>
      <c r="B97" t="s">
        <v>205</v>
      </c>
    </row>
    <row r="98" spans="1:2" x14ac:dyDescent="0.35">
      <c r="A98" t="s">
        <v>206</v>
      </c>
      <c r="B98" t="s">
        <v>207</v>
      </c>
    </row>
    <row r="99" spans="1:2" x14ac:dyDescent="0.35">
      <c r="A99" t="s">
        <v>208</v>
      </c>
      <c r="B99" t="s">
        <v>209</v>
      </c>
    </row>
    <row r="100" spans="1:2" x14ac:dyDescent="0.35">
      <c r="A100" t="s">
        <v>210</v>
      </c>
      <c r="B100" t="s">
        <v>211</v>
      </c>
    </row>
    <row r="101" spans="1:2" x14ac:dyDescent="0.35">
      <c r="A101" t="s">
        <v>212</v>
      </c>
      <c r="B101" t="s">
        <v>213</v>
      </c>
    </row>
    <row r="102" spans="1:2" x14ac:dyDescent="0.35">
      <c r="A102" t="s">
        <v>214</v>
      </c>
      <c r="B102" t="s">
        <v>215</v>
      </c>
    </row>
    <row r="103" spans="1:2" x14ac:dyDescent="0.35">
      <c r="A103" t="s">
        <v>216</v>
      </c>
      <c r="B103" t="s">
        <v>217</v>
      </c>
    </row>
    <row r="104" spans="1:2" x14ac:dyDescent="0.35">
      <c r="A104" t="s">
        <v>218</v>
      </c>
      <c r="B104" t="s">
        <v>219</v>
      </c>
    </row>
    <row r="105" spans="1:2" x14ac:dyDescent="0.35">
      <c r="A105" t="s">
        <v>220</v>
      </c>
      <c r="B105" t="s">
        <v>221</v>
      </c>
    </row>
    <row r="106" spans="1:2" x14ac:dyDescent="0.35">
      <c r="A106" t="s">
        <v>222</v>
      </c>
      <c r="B106" t="s">
        <v>223</v>
      </c>
    </row>
    <row r="107" spans="1:2" x14ac:dyDescent="0.35">
      <c r="A107" t="s">
        <v>224</v>
      </c>
      <c r="B107" t="s">
        <v>225</v>
      </c>
    </row>
    <row r="108" spans="1:2" x14ac:dyDescent="0.35">
      <c r="A108" t="s">
        <v>226</v>
      </c>
      <c r="B108" t="s">
        <v>227</v>
      </c>
    </row>
    <row r="109" spans="1:2" x14ac:dyDescent="0.35">
      <c r="A109" t="s">
        <v>228</v>
      </c>
      <c r="B109" t="s">
        <v>229</v>
      </c>
    </row>
    <row r="110" spans="1:2" x14ac:dyDescent="0.35">
      <c r="A110" t="s">
        <v>230</v>
      </c>
      <c r="B110" t="s">
        <v>231</v>
      </c>
    </row>
    <row r="111" spans="1:2" x14ac:dyDescent="0.35">
      <c r="A111" t="s">
        <v>232</v>
      </c>
      <c r="B111" t="s">
        <v>233</v>
      </c>
    </row>
    <row r="112" spans="1:2" x14ac:dyDescent="0.35">
      <c r="A112" t="s">
        <v>234</v>
      </c>
      <c r="B112" t="s">
        <v>235</v>
      </c>
    </row>
    <row r="113" spans="1:2" x14ac:dyDescent="0.35">
      <c r="A113" t="s">
        <v>236</v>
      </c>
      <c r="B113" t="s">
        <v>237</v>
      </c>
    </row>
    <row r="114" spans="1:2" x14ac:dyDescent="0.35">
      <c r="A114" t="s">
        <v>238</v>
      </c>
      <c r="B114" t="s">
        <v>239</v>
      </c>
    </row>
  </sheetData>
  <autoFilter ref="A1:B3" xr:uid="{7423E71A-C3BA-4E9A-8679-88DDD26ECF27}">
    <sortState xmlns:xlrd2="http://schemas.microsoft.com/office/spreadsheetml/2017/richdata2" ref="A2:B113">
      <sortCondition ref="A1:A3"/>
    </sortState>
  </autoFilter>
  <sortState xmlns:xlrd2="http://schemas.microsoft.com/office/spreadsheetml/2017/richdata2" ref="A3:B114">
    <sortCondition ref="A3:A11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02C9-8C6B-4F68-8EBA-87618D78843B}">
  <dimension ref="A1:J31"/>
  <sheetViews>
    <sheetView zoomScale="80" zoomScaleNormal="80" workbookViewId="0">
      <pane xSplit="1" ySplit="1" topLeftCell="B2" activePane="bottomRight" state="frozen"/>
      <selection pane="topRight" activeCell="B1" sqref="B1"/>
      <selection pane="bottomLeft" activeCell="A3" sqref="A3"/>
      <selection pane="bottomRight" activeCell="C12" sqref="C12"/>
    </sheetView>
  </sheetViews>
  <sheetFormatPr defaultColWidth="8.7265625" defaultRowHeight="14.5" x14ac:dyDescent="0.35"/>
  <cols>
    <col min="1" max="1" width="35.7265625" style="19" customWidth="1"/>
    <col min="2" max="2" width="14.54296875" style="19" customWidth="1"/>
    <col min="3" max="3" width="37.81640625" style="19" customWidth="1"/>
    <col min="4" max="4" width="45.54296875" style="19" customWidth="1"/>
    <col min="5" max="5" width="17.54296875" style="19" customWidth="1"/>
    <col min="6" max="6" width="32.1796875" style="19" customWidth="1"/>
    <col min="7" max="7" width="22.7265625" style="19" customWidth="1"/>
    <col min="8" max="8" width="23.453125" style="19" customWidth="1"/>
    <col min="9" max="9" width="41.1796875" style="19" customWidth="1"/>
    <col min="10" max="10" width="47.81640625" style="19" customWidth="1"/>
    <col min="11" max="16384" width="8.7265625" style="19"/>
  </cols>
  <sheetData>
    <row r="1" spans="1:10" s="26" customFormat="1" ht="43.5" x14ac:dyDescent="0.35">
      <c r="A1" s="22" t="s">
        <v>240</v>
      </c>
      <c r="B1" s="22" t="s">
        <v>241</v>
      </c>
      <c r="C1" s="22" t="s">
        <v>242</v>
      </c>
      <c r="D1" s="22" t="s">
        <v>243</v>
      </c>
      <c r="E1" s="22" t="s">
        <v>244</v>
      </c>
      <c r="F1" s="22" t="s">
        <v>245</v>
      </c>
      <c r="G1" s="22" t="s">
        <v>246</v>
      </c>
      <c r="H1" s="22" t="s">
        <v>247</v>
      </c>
      <c r="I1" s="22" t="s">
        <v>248</v>
      </c>
      <c r="J1" s="22" t="s">
        <v>249</v>
      </c>
    </row>
    <row r="2" spans="1:10" s="9" customFormat="1" ht="101.5" x14ac:dyDescent="0.35">
      <c r="A2" s="9" t="s">
        <v>250</v>
      </c>
      <c r="B2" s="10">
        <v>0.3</v>
      </c>
      <c r="C2" s="9" t="s">
        <v>251</v>
      </c>
      <c r="D2" s="9" t="s">
        <v>252</v>
      </c>
      <c r="E2" s="9" t="s">
        <v>253</v>
      </c>
      <c r="F2" s="9" t="s">
        <v>254</v>
      </c>
      <c r="G2" s="9" t="s">
        <v>255</v>
      </c>
      <c r="H2" s="9" t="s">
        <v>255</v>
      </c>
      <c r="I2" s="9" t="s">
        <v>256</v>
      </c>
      <c r="J2" s="9" t="s">
        <v>257</v>
      </c>
    </row>
    <row r="3" spans="1:10" s="9" customFormat="1" ht="43.5" x14ac:dyDescent="0.35">
      <c r="A3" s="9" t="s">
        <v>258</v>
      </c>
      <c r="B3" s="10">
        <v>34</v>
      </c>
      <c r="C3" s="9" t="s">
        <v>259</v>
      </c>
      <c r="D3" s="9" t="s">
        <v>260</v>
      </c>
      <c r="E3" s="9" t="s">
        <v>261</v>
      </c>
      <c r="F3" s="9" t="s">
        <v>262</v>
      </c>
      <c r="G3" s="9" t="s">
        <v>263</v>
      </c>
      <c r="H3" s="9" t="s">
        <v>263</v>
      </c>
      <c r="I3" s="24" t="s">
        <v>264</v>
      </c>
      <c r="J3" s="9" t="s">
        <v>265</v>
      </c>
    </row>
    <row r="4" spans="1:10" s="9" customFormat="1" ht="29" x14ac:dyDescent="0.35">
      <c r="A4" s="9" t="s">
        <v>266</v>
      </c>
      <c r="B4" s="10">
        <v>56</v>
      </c>
      <c r="C4" s="9" t="s">
        <v>267</v>
      </c>
      <c r="D4" s="9" t="s">
        <v>268</v>
      </c>
      <c r="E4" s="9" t="s">
        <v>269</v>
      </c>
      <c r="F4" s="9" t="s">
        <v>270</v>
      </c>
      <c r="G4" s="9" t="s">
        <v>271</v>
      </c>
      <c r="H4" s="9" t="s">
        <v>255</v>
      </c>
      <c r="I4" s="9" t="s">
        <v>272</v>
      </c>
      <c r="J4" s="9" t="s">
        <v>273</v>
      </c>
    </row>
    <row r="5" spans="1:10" s="9" customFormat="1" ht="101.5" x14ac:dyDescent="0.35">
      <c r="A5" s="9" t="s">
        <v>274</v>
      </c>
      <c r="B5" s="10">
        <v>66</v>
      </c>
      <c r="C5" s="9" t="s">
        <v>275</v>
      </c>
      <c r="D5" s="9" t="s">
        <v>276</v>
      </c>
      <c r="E5" s="9" t="s">
        <v>277</v>
      </c>
      <c r="F5" s="9" t="s">
        <v>278</v>
      </c>
      <c r="G5" s="9" t="s">
        <v>279</v>
      </c>
      <c r="H5" s="9" t="s">
        <v>255</v>
      </c>
      <c r="I5" s="9" t="s">
        <v>280</v>
      </c>
      <c r="J5" s="9" t="s">
        <v>281</v>
      </c>
    </row>
    <row r="6" spans="1:10" s="9" customFormat="1" ht="29" x14ac:dyDescent="0.35">
      <c r="A6" s="9" t="s">
        <v>282</v>
      </c>
      <c r="B6" s="10">
        <v>94</v>
      </c>
      <c r="C6" s="9" t="s">
        <v>283</v>
      </c>
      <c r="D6" s="9" t="s">
        <v>284</v>
      </c>
      <c r="E6" s="9" t="s">
        <v>269</v>
      </c>
      <c r="F6" s="9" t="s">
        <v>254</v>
      </c>
      <c r="G6" s="9" t="s">
        <v>255</v>
      </c>
      <c r="H6" s="9" t="s">
        <v>255</v>
      </c>
      <c r="I6" s="24" t="s">
        <v>285</v>
      </c>
      <c r="J6" s="9" t="s">
        <v>286</v>
      </c>
    </row>
    <row r="7" spans="1:10" s="9" customFormat="1" ht="58" x14ac:dyDescent="0.35">
      <c r="A7" s="9" t="s">
        <v>287</v>
      </c>
      <c r="B7" s="10" t="s">
        <v>288</v>
      </c>
      <c r="C7" s="9" t="s">
        <v>289</v>
      </c>
      <c r="D7" s="9" t="s">
        <v>290</v>
      </c>
      <c r="E7" s="9" t="s">
        <v>269</v>
      </c>
      <c r="F7" s="9" t="s">
        <v>254</v>
      </c>
      <c r="G7" s="9" t="s">
        <v>255</v>
      </c>
      <c r="H7" s="9" t="s">
        <v>255</v>
      </c>
      <c r="I7" s="9" t="s">
        <v>291</v>
      </c>
      <c r="J7" s="9" t="s">
        <v>292</v>
      </c>
    </row>
    <row r="8" spans="1:10" s="9" customFormat="1" ht="29" x14ac:dyDescent="0.35">
      <c r="A8" s="9" t="s">
        <v>293</v>
      </c>
      <c r="B8" s="10" t="s">
        <v>294</v>
      </c>
      <c r="C8" s="9" t="s">
        <v>295</v>
      </c>
      <c r="D8" s="9" t="s">
        <v>296</v>
      </c>
      <c r="E8" s="9" t="s">
        <v>261</v>
      </c>
      <c r="F8" s="9" t="s">
        <v>254</v>
      </c>
      <c r="G8" s="9" t="s">
        <v>255</v>
      </c>
      <c r="H8" s="9" t="s">
        <v>255</v>
      </c>
      <c r="I8" s="24" t="s">
        <v>297</v>
      </c>
      <c r="J8" s="9" t="s">
        <v>298</v>
      </c>
    </row>
    <row r="9" spans="1:10" s="9" customFormat="1" ht="29" x14ac:dyDescent="0.35">
      <c r="A9" s="9" t="s">
        <v>299</v>
      </c>
      <c r="B9" s="10">
        <v>201</v>
      </c>
      <c r="C9" s="9" t="s">
        <v>300</v>
      </c>
      <c r="D9" s="9" t="s">
        <v>301</v>
      </c>
      <c r="E9" s="9" t="s">
        <v>302</v>
      </c>
      <c r="F9" s="9" t="s">
        <v>303</v>
      </c>
      <c r="G9" s="9" t="s">
        <v>255</v>
      </c>
      <c r="H9" s="9" t="s">
        <v>255</v>
      </c>
      <c r="I9" s="24" t="s">
        <v>304</v>
      </c>
      <c r="J9" s="9" t="s">
        <v>305</v>
      </c>
    </row>
    <row r="10" spans="1:10" s="9" customFormat="1" ht="29" x14ac:dyDescent="0.35">
      <c r="A10" s="9" t="s">
        <v>306</v>
      </c>
      <c r="B10" s="10" t="s">
        <v>307</v>
      </c>
      <c r="C10" s="9" t="s">
        <v>308</v>
      </c>
      <c r="D10" s="9" t="s">
        <v>309</v>
      </c>
      <c r="E10" s="9" t="s">
        <v>310</v>
      </c>
      <c r="F10" s="9" t="s">
        <v>311</v>
      </c>
      <c r="G10" s="9" t="s">
        <v>255</v>
      </c>
      <c r="H10" s="9" t="s">
        <v>312</v>
      </c>
      <c r="I10" s="9" t="s">
        <v>313</v>
      </c>
      <c r="J10" s="9" t="s">
        <v>314</v>
      </c>
    </row>
    <row r="11" spans="1:10" s="9" customFormat="1" ht="29" x14ac:dyDescent="0.35">
      <c r="A11" s="9" t="s">
        <v>315</v>
      </c>
      <c r="B11" s="10">
        <v>248</v>
      </c>
      <c r="C11" s="9" t="s">
        <v>316</v>
      </c>
      <c r="D11" s="9" t="s">
        <v>317</v>
      </c>
      <c r="E11" s="9" t="s">
        <v>261</v>
      </c>
      <c r="F11" s="9" t="s">
        <v>303</v>
      </c>
      <c r="G11" s="9" t="s">
        <v>255</v>
      </c>
      <c r="H11" s="9" t="s">
        <v>312</v>
      </c>
      <c r="I11" s="24" t="s">
        <v>318</v>
      </c>
      <c r="J11" s="9" t="s">
        <v>319</v>
      </c>
    </row>
    <row r="12" spans="1:10" s="9" customFormat="1" ht="29" x14ac:dyDescent="0.35">
      <c r="A12" s="9" t="s">
        <v>320</v>
      </c>
      <c r="B12" s="10">
        <v>252</v>
      </c>
      <c r="C12" s="9" t="s">
        <v>321</v>
      </c>
      <c r="D12" s="9" t="s">
        <v>322</v>
      </c>
      <c r="E12" s="9" t="s">
        <v>277</v>
      </c>
      <c r="F12" s="9" t="s">
        <v>323</v>
      </c>
      <c r="G12" s="9" t="s">
        <v>255</v>
      </c>
      <c r="H12" s="9" t="s">
        <v>324</v>
      </c>
      <c r="I12" s="24" t="s">
        <v>325</v>
      </c>
      <c r="J12" s="9" t="s">
        <v>326</v>
      </c>
    </row>
    <row r="13" spans="1:10" s="9" customFormat="1" ht="58" x14ac:dyDescent="0.35">
      <c r="A13" s="9" t="s">
        <v>327</v>
      </c>
      <c r="B13" s="10" t="s">
        <v>328</v>
      </c>
      <c r="C13" s="9" t="s">
        <v>329</v>
      </c>
      <c r="D13" s="9" t="s">
        <v>330</v>
      </c>
      <c r="E13" s="9" t="s">
        <v>302</v>
      </c>
      <c r="F13" s="9" t="s">
        <v>331</v>
      </c>
      <c r="G13" s="9" t="s">
        <v>332</v>
      </c>
      <c r="H13" s="9" t="s">
        <v>333</v>
      </c>
      <c r="I13" s="24" t="s">
        <v>334</v>
      </c>
      <c r="J13" s="9" t="s">
        <v>335</v>
      </c>
    </row>
    <row r="14" spans="1:10" s="9" customFormat="1" ht="72.5" x14ac:dyDescent="0.35">
      <c r="A14" s="9" t="s">
        <v>336</v>
      </c>
      <c r="B14" s="10">
        <v>325</v>
      </c>
      <c r="C14" s="9" t="s">
        <v>337</v>
      </c>
      <c r="D14" s="9" t="s">
        <v>338</v>
      </c>
      <c r="E14" s="9" t="s">
        <v>253</v>
      </c>
      <c r="F14" s="9" t="s">
        <v>339</v>
      </c>
      <c r="G14" s="9" t="s">
        <v>255</v>
      </c>
      <c r="H14" s="9" t="s">
        <v>312</v>
      </c>
      <c r="I14" s="9" t="s">
        <v>340</v>
      </c>
      <c r="J14" s="9" t="s">
        <v>341</v>
      </c>
    </row>
    <row r="15" spans="1:10" s="9" customFormat="1" ht="43.5" x14ac:dyDescent="0.35">
      <c r="A15" s="9" t="s">
        <v>342</v>
      </c>
      <c r="B15" s="10">
        <v>360</v>
      </c>
      <c r="C15" s="9" t="s">
        <v>343</v>
      </c>
      <c r="D15" s="9" t="s">
        <v>344</v>
      </c>
      <c r="E15" s="9" t="s">
        <v>345</v>
      </c>
      <c r="F15" s="9" t="s">
        <v>346</v>
      </c>
      <c r="G15" s="9" t="s">
        <v>255</v>
      </c>
      <c r="H15" s="9" t="s">
        <v>312</v>
      </c>
      <c r="I15" s="24" t="s">
        <v>347</v>
      </c>
      <c r="J15" s="9" t="s">
        <v>348</v>
      </c>
    </row>
    <row r="16" spans="1:10" s="9" customFormat="1" ht="58" x14ac:dyDescent="0.35">
      <c r="A16" s="9" t="s">
        <v>349</v>
      </c>
      <c r="B16" s="9">
        <v>371</v>
      </c>
      <c r="C16" s="9" t="s">
        <v>350</v>
      </c>
      <c r="D16" s="9" t="s">
        <v>351</v>
      </c>
      <c r="E16" s="9" t="s">
        <v>261</v>
      </c>
      <c r="F16" s="9" t="s">
        <v>352</v>
      </c>
      <c r="G16" s="9" t="s">
        <v>255</v>
      </c>
      <c r="H16" s="9" t="s">
        <v>312</v>
      </c>
      <c r="I16" s="24" t="s">
        <v>353</v>
      </c>
      <c r="J16" s="9" t="s">
        <v>354</v>
      </c>
    </row>
    <row r="17" spans="1:10" s="9" customFormat="1" ht="58" x14ac:dyDescent="0.35">
      <c r="A17" s="9" t="s">
        <v>355</v>
      </c>
      <c r="B17" s="10">
        <v>381</v>
      </c>
      <c r="C17" s="9" t="s">
        <v>356</v>
      </c>
      <c r="D17" s="9" t="s">
        <v>357</v>
      </c>
      <c r="E17" s="9" t="s">
        <v>261</v>
      </c>
      <c r="F17" s="9" t="s">
        <v>358</v>
      </c>
      <c r="G17" s="9" t="s">
        <v>255</v>
      </c>
      <c r="H17" s="9" t="s">
        <v>312</v>
      </c>
      <c r="I17" s="24" t="s">
        <v>359</v>
      </c>
      <c r="J17" s="9" t="s">
        <v>360</v>
      </c>
    </row>
    <row r="18" spans="1:10" s="9" customFormat="1" ht="43.5" x14ac:dyDescent="0.35">
      <c r="A18" s="9" t="s">
        <v>361</v>
      </c>
      <c r="B18" s="10">
        <v>386</v>
      </c>
      <c r="C18" s="9" t="s">
        <v>362</v>
      </c>
      <c r="D18" s="9" t="s">
        <v>357</v>
      </c>
      <c r="E18" s="9" t="s">
        <v>363</v>
      </c>
      <c r="F18" s="9" t="s">
        <v>254</v>
      </c>
      <c r="G18" s="9" t="s">
        <v>255</v>
      </c>
      <c r="H18" s="9" t="s">
        <v>364</v>
      </c>
      <c r="I18" s="9" t="s">
        <v>365</v>
      </c>
      <c r="J18" s="9" t="s">
        <v>366</v>
      </c>
    </row>
    <row r="19" spans="1:10" s="9" customFormat="1" ht="43.5" x14ac:dyDescent="0.35">
      <c r="A19" s="9" t="s">
        <v>367</v>
      </c>
      <c r="B19" s="10">
        <v>423.5</v>
      </c>
      <c r="C19" s="9" t="s">
        <v>368</v>
      </c>
      <c r="D19" s="9" t="s">
        <v>369</v>
      </c>
      <c r="E19" s="9" t="s">
        <v>269</v>
      </c>
      <c r="F19" s="9" t="s">
        <v>370</v>
      </c>
      <c r="G19" s="9" t="s">
        <v>255</v>
      </c>
      <c r="H19" s="9" t="s">
        <v>312</v>
      </c>
      <c r="I19" s="24" t="s">
        <v>347</v>
      </c>
      <c r="J19" s="9" t="s">
        <v>371</v>
      </c>
    </row>
    <row r="20" spans="1:10" s="9" customFormat="1" ht="43.5" x14ac:dyDescent="0.35">
      <c r="A20" s="9" t="s">
        <v>372</v>
      </c>
      <c r="B20" s="10">
        <v>428</v>
      </c>
      <c r="C20" s="9" t="s">
        <v>373</v>
      </c>
      <c r="D20" s="9" t="s">
        <v>369</v>
      </c>
      <c r="E20" s="9" t="s">
        <v>302</v>
      </c>
      <c r="F20" s="9" t="s">
        <v>370</v>
      </c>
      <c r="G20" s="9" t="s">
        <v>255</v>
      </c>
      <c r="H20" s="9" t="s">
        <v>312</v>
      </c>
      <c r="I20" s="24" t="s">
        <v>374</v>
      </c>
      <c r="J20" s="9" t="s">
        <v>375</v>
      </c>
    </row>
    <row r="21" spans="1:10" s="9" customFormat="1" ht="43.5" x14ac:dyDescent="0.35">
      <c r="A21" s="9" t="s">
        <v>376</v>
      </c>
      <c r="B21" s="10">
        <v>433</v>
      </c>
      <c r="C21" s="9" t="s">
        <v>377</v>
      </c>
      <c r="D21" s="9" t="s">
        <v>369</v>
      </c>
      <c r="E21" s="9" t="s">
        <v>302</v>
      </c>
      <c r="F21" s="9" t="s">
        <v>370</v>
      </c>
      <c r="G21" s="9" t="s">
        <v>255</v>
      </c>
      <c r="H21" s="9" t="s">
        <v>312</v>
      </c>
      <c r="I21" s="24" t="s">
        <v>378</v>
      </c>
      <c r="J21" s="9" t="s">
        <v>375</v>
      </c>
    </row>
    <row r="22" spans="1:10" s="9" customFormat="1" ht="116" x14ac:dyDescent="0.35">
      <c r="A22" s="9" t="s">
        <v>379</v>
      </c>
      <c r="B22" s="10">
        <v>445</v>
      </c>
      <c r="C22" s="9" t="s">
        <v>380</v>
      </c>
      <c r="D22" s="9" t="s">
        <v>381</v>
      </c>
      <c r="E22" s="9" t="s">
        <v>382</v>
      </c>
      <c r="F22" s="9" t="s">
        <v>383</v>
      </c>
      <c r="G22" s="9" t="s">
        <v>333</v>
      </c>
      <c r="H22" s="9" t="s">
        <v>312</v>
      </c>
      <c r="I22" s="24" t="s">
        <v>384</v>
      </c>
      <c r="J22" s="9" t="s">
        <v>385</v>
      </c>
    </row>
    <row r="23" spans="1:10" s="9" customFormat="1" ht="58" x14ac:dyDescent="0.35">
      <c r="A23" s="9" t="s">
        <v>386</v>
      </c>
      <c r="B23" s="10">
        <v>495</v>
      </c>
      <c r="C23" s="9" t="s">
        <v>387</v>
      </c>
      <c r="D23" s="9" t="s">
        <v>312</v>
      </c>
      <c r="E23" s="9" t="s">
        <v>388</v>
      </c>
      <c r="F23" s="9" t="s">
        <v>389</v>
      </c>
      <c r="G23" s="9" t="s">
        <v>255</v>
      </c>
      <c r="H23" s="9" t="s">
        <v>312</v>
      </c>
      <c r="I23" s="24" t="s">
        <v>390</v>
      </c>
      <c r="J23" s="9" t="s">
        <v>391</v>
      </c>
    </row>
    <row r="24" spans="1:10" s="9" customFormat="1" ht="72.5" x14ac:dyDescent="0.35">
      <c r="A24" s="9" t="s">
        <v>392</v>
      </c>
      <c r="B24" s="10" t="s">
        <v>393</v>
      </c>
      <c r="C24" s="9" t="s">
        <v>394</v>
      </c>
      <c r="D24" s="9" t="s">
        <v>395</v>
      </c>
      <c r="E24" s="9" t="s">
        <v>269</v>
      </c>
      <c r="F24" s="9" t="s">
        <v>396</v>
      </c>
      <c r="G24" s="9" t="s">
        <v>324</v>
      </c>
      <c r="H24" s="9" t="s">
        <v>312</v>
      </c>
      <c r="I24" s="24" t="s">
        <v>397</v>
      </c>
      <c r="J24" s="9" t="s">
        <v>398</v>
      </c>
    </row>
    <row r="25" spans="1:10" s="9" customFormat="1" ht="43.5" x14ac:dyDescent="0.35">
      <c r="A25" s="11" t="s">
        <v>399</v>
      </c>
      <c r="B25" s="12" t="s">
        <v>400</v>
      </c>
      <c r="C25" s="11" t="s">
        <v>312</v>
      </c>
      <c r="D25" s="11" t="s">
        <v>312</v>
      </c>
      <c r="E25" s="11" t="s">
        <v>269</v>
      </c>
      <c r="F25" s="11" t="s">
        <v>396</v>
      </c>
      <c r="G25" s="11" t="s">
        <v>255</v>
      </c>
      <c r="H25" s="11" t="s">
        <v>312</v>
      </c>
      <c r="I25" s="25" t="s">
        <v>401</v>
      </c>
      <c r="J25" s="11" t="s">
        <v>402</v>
      </c>
    </row>
    <row r="26" spans="1:10" x14ac:dyDescent="0.35">
      <c r="A26" s="28" t="s">
        <v>403</v>
      </c>
      <c r="B26" s="28"/>
      <c r="C26" s="28"/>
      <c r="D26" s="28"/>
      <c r="E26" s="28"/>
      <c r="F26" s="28"/>
      <c r="G26" s="28"/>
      <c r="H26" s="28"/>
      <c r="I26" s="28"/>
      <c r="J26" s="28"/>
    </row>
    <row r="27" spans="1:10" x14ac:dyDescent="0.35">
      <c r="A27" s="29" t="s">
        <v>404</v>
      </c>
      <c r="B27" s="29"/>
      <c r="C27" s="29"/>
      <c r="D27" s="29"/>
      <c r="E27" s="29"/>
      <c r="F27" s="29"/>
      <c r="G27" s="29"/>
      <c r="H27" s="29"/>
      <c r="I27" s="29"/>
      <c r="J27" s="29"/>
    </row>
    <row r="28" spans="1:10" x14ac:dyDescent="0.35">
      <c r="A28" s="29" t="s">
        <v>405</v>
      </c>
      <c r="B28" s="29"/>
      <c r="C28" s="29"/>
      <c r="D28" s="29"/>
      <c r="E28" s="29"/>
      <c r="F28" s="29"/>
      <c r="G28" s="29"/>
      <c r="H28" s="29"/>
      <c r="I28" s="29"/>
      <c r="J28" s="29"/>
    </row>
    <row r="29" spans="1:10" x14ac:dyDescent="0.35">
      <c r="A29" s="29" t="s">
        <v>406</v>
      </c>
      <c r="B29" s="29"/>
      <c r="C29" s="29"/>
      <c r="D29" s="29"/>
      <c r="E29" s="29"/>
      <c r="F29" s="29"/>
      <c r="G29" s="29"/>
      <c r="H29" s="29"/>
      <c r="I29" s="29"/>
      <c r="J29" s="29"/>
    </row>
    <row r="30" spans="1:10" ht="30" customHeight="1" x14ac:dyDescent="0.35">
      <c r="A30" s="27" t="s">
        <v>407</v>
      </c>
      <c r="B30" s="27"/>
      <c r="C30" s="27"/>
      <c r="D30" s="27"/>
      <c r="E30" s="27"/>
      <c r="F30" s="27"/>
      <c r="G30" s="27"/>
      <c r="H30" s="27"/>
      <c r="I30" s="27"/>
      <c r="J30" s="27"/>
    </row>
    <row r="31" spans="1:10" x14ac:dyDescent="0.35">
      <c r="A31" s="20"/>
    </row>
  </sheetData>
  <mergeCells count="5">
    <mergeCell ref="A30:J30"/>
    <mergeCell ref="A26:J26"/>
    <mergeCell ref="A27:J27"/>
    <mergeCell ref="A28:J28"/>
    <mergeCell ref="A29:J2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ACC9-11F7-4587-B3BA-8491A5C42C7E}">
  <dimension ref="A1:J12"/>
  <sheetViews>
    <sheetView zoomScale="70" zoomScaleNormal="70" workbookViewId="0">
      <pane xSplit="1" ySplit="1" topLeftCell="B2" activePane="bottomRight" state="frozen"/>
      <selection pane="topRight" activeCell="B1" sqref="B1"/>
      <selection pane="bottomLeft" activeCell="A3" sqref="A3"/>
      <selection pane="bottomRight"/>
    </sheetView>
  </sheetViews>
  <sheetFormatPr defaultColWidth="8.7265625" defaultRowHeight="14.5" x14ac:dyDescent="0.35"/>
  <cols>
    <col min="1" max="1" width="31.7265625" style="19" customWidth="1"/>
    <col min="2" max="2" width="39.81640625" style="19" customWidth="1"/>
    <col min="3" max="3" width="18.26953125" style="19" bestFit="1" customWidth="1"/>
    <col min="4" max="4" width="30.26953125" style="19" customWidth="1"/>
    <col min="5" max="5" width="55.7265625" style="19" customWidth="1"/>
    <col min="6" max="6" width="47.81640625" style="19" customWidth="1"/>
    <col min="7" max="7" width="61.54296875" style="19" bestFit="1" customWidth="1"/>
    <col min="8" max="8" width="22.54296875" style="19" bestFit="1" customWidth="1"/>
    <col min="9" max="16384" width="8.7265625" style="19"/>
  </cols>
  <sheetData>
    <row r="1" spans="1:10" ht="29" x14ac:dyDescent="0.35">
      <c r="A1" s="22" t="s">
        <v>408</v>
      </c>
      <c r="B1" s="22" t="s">
        <v>409</v>
      </c>
      <c r="C1" s="22" t="s">
        <v>410</v>
      </c>
      <c r="D1" s="22" t="s">
        <v>242</v>
      </c>
      <c r="E1" s="22" t="s">
        <v>411</v>
      </c>
      <c r="F1" s="22" t="s">
        <v>412</v>
      </c>
      <c r="G1" s="22" t="s">
        <v>413</v>
      </c>
      <c r="H1" s="22" t="s">
        <v>414</v>
      </c>
    </row>
    <row r="2" spans="1:10" s="13" customFormat="1" ht="189.65" customHeight="1" x14ac:dyDescent="0.35">
      <c r="A2" s="13" t="s">
        <v>415</v>
      </c>
      <c r="B2" s="13" t="s">
        <v>416</v>
      </c>
      <c r="C2" s="13" t="s">
        <v>417</v>
      </c>
      <c r="D2" s="23" t="s">
        <v>418</v>
      </c>
      <c r="E2" s="13" t="s">
        <v>419</v>
      </c>
      <c r="F2" s="13" t="s">
        <v>420</v>
      </c>
      <c r="G2" s="13" t="s">
        <v>421</v>
      </c>
      <c r="H2" s="13" t="s">
        <v>422</v>
      </c>
    </row>
    <row r="3" spans="1:10" s="13" customFormat="1" ht="72.5" x14ac:dyDescent="0.35">
      <c r="A3" s="21" t="s">
        <v>423</v>
      </c>
      <c r="B3" s="21" t="s">
        <v>424</v>
      </c>
      <c r="C3" s="13" t="s">
        <v>425</v>
      </c>
      <c r="D3" s="13" t="s">
        <v>426</v>
      </c>
      <c r="E3" s="13" t="s">
        <v>427</v>
      </c>
      <c r="F3" s="13" t="s">
        <v>428</v>
      </c>
      <c r="G3" s="13" t="s">
        <v>429</v>
      </c>
      <c r="H3" s="13" t="s">
        <v>255</v>
      </c>
    </row>
    <row r="4" spans="1:10" s="13" customFormat="1" ht="129.65" customHeight="1" x14ac:dyDescent="0.35">
      <c r="A4" s="21" t="s">
        <v>430</v>
      </c>
      <c r="B4" s="21" t="s">
        <v>431</v>
      </c>
      <c r="C4" s="13" t="s">
        <v>432</v>
      </c>
      <c r="D4" s="13" t="s">
        <v>433</v>
      </c>
      <c r="E4" s="13" t="s">
        <v>434</v>
      </c>
      <c r="F4" s="13" t="s">
        <v>435</v>
      </c>
      <c r="G4" s="13" t="s">
        <v>436</v>
      </c>
      <c r="H4" s="13" t="s">
        <v>437</v>
      </c>
    </row>
    <row r="5" spans="1:10" s="13" customFormat="1" ht="89.15" customHeight="1" x14ac:dyDescent="0.35">
      <c r="A5" s="21" t="s">
        <v>438</v>
      </c>
      <c r="B5" s="21" t="s">
        <v>439</v>
      </c>
      <c r="C5" s="13" t="s">
        <v>440</v>
      </c>
      <c r="D5" s="13" t="s">
        <v>441</v>
      </c>
      <c r="E5" s="13" t="s">
        <v>442</v>
      </c>
      <c r="F5" s="13" t="s">
        <v>443</v>
      </c>
      <c r="G5" s="13" t="s">
        <v>444</v>
      </c>
      <c r="H5" s="13" t="s">
        <v>255</v>
      </c>
    </row>
    <row r="6" spans="1:10" s="13" customFormat="1" ht="101.5" x14ac:dyDescent="0.35">
      <c r="A6" s="21" t="s">
        <v>445</v>
      </c>
      <c r="B6" s="21" t="s">
        <v>446</v>
      </c>
      <c r="C6" s="13" t="s">
        <v>447</v>
      </c>
      <c r="D6" s="13" t="s">
        <v>448</v>
      </c>
      <c r="E6" s="13" t="s">
        <v>449</v>
      </c>
      <c r="F6" s="13" t="s">
        <v>450</v>
      </c>
      <c r="G6" s="13" t="s">
        <v>451</v>
      </c>
      <c r="H6" s="13" t="s">
        <v>255</v>
      </c>
    </row>
    <row r="7" spans="1:10" s="13" customFormat="1" ht="118" customHeight="1" x14ac:dyDescent="0.35">
      <c r="A7" s="21" t="s">
        <v>452</v>
      </c>
      <c r="B7" s="21" t="s">
        <v>453</v>
      </c>
      <c r="C7" s="21" t="s">
        <v>454</v>
      </c>
      <c r="D7" s="13" t="s">
        <v>455</v>
      </c>
      <c r="E7" s="13" t="s">
        <v>456</v>
      </c>
      <c r="F7" s="13" t="s">
        <v>457</v>
      </c>
      <c r="G7" s="13" t="s">
        <v>458</v>
      </c>
      <c r="H7" s="13" t="s">
        <v>255</v>
      </c>
    </row>
    <row r="8" spans="1:10" s="13" customFormat="1" ht="87" x14ac:dyDescent="0.35">
      <c r="A8" s="21" t="s">
        <v>459</v>
      </c>
      <c r="B8" s="21" t="s">
        <v>460</v>
      </c>
      <c r="C8" s="21" t="s">
        <v>461</v>
      </c>
      <c r="D8" s="13" t="s">
        <v>462</v>
      </c>
      <c r="E8" s="13" t="s">
        <v>463</v>
      </c>
      <c r="F8" s="13" t="s">
        <v>464</v>
      </c>
      <c r="G8" s="13" t="s">
        <v>465</v>
      </c>
      <c r="H8" s="13" t="s">
        <v>466</v>
      </c>
    </row>
    <row r="9" spans="1:10" s="13" customFormat="1" ht="101.5" x14ac:dyDescent="0.35">
      <c r="A9" s="13" t="s">
        <v>467</v>
      </c>
      <c r="B9" s="13" t="s">
        <v>468</v>
      </c>
      <c r="C9" s="13" t="s">
        <v>469</v>
      </c>
      <c r="D9" s="13" t="s">
        <v>470</v>
      </c>
      <c r="E9" s="13" t="s">
        <v>471</v>
      </c>
      <c r="F9" s="13" t="s">
        <v>472</v>
      </c>
      <c r="G9" s="13" t="s">
        <v>473</v>
      </c>
      <c r="H9" s="13" t="s">
        <v>474</v>
      </c>
    </row>
    <row r="10" spans="1:10" s="13" customFormat="1" ht="101.5" x14ac:dyDescent="0.35">
      <c r="A10" s="13" t="s">
        <v>475</v>
      </c>
      <c r="B10" s="13" t="s">
        <v>476</v>
      </c>
      <c r="C10" s="13" t="s">
        <v>477</v>
      </c>
      <c r="D10" s="13" t="s">
        <v>478</v>
      </c>
      <c r="E10" s="13" t="s">
        <v>479</v>
      </c>
      <c r="F10" s="13" t="s">
        <v>480</v>
      </c>
      <c r="G10" s="13" t="s">
        <v>481</v>
      </c>
      <c r="H10" s="13" t="s">
        <v>482</v>
      </c>
    </row>
    <row r="11" spans="1:10" ht="87" x14ac:dyDescent="0.35">
      <c r="A11" s="13" t="s">
        <v>483</v>
      </c>
      <c r="B11" s="13" t="s">
        <v>484</v>
      </c>
      <c r="C11" s="13" t="s">
        <v>485</v>
      </c>
      <c r="D11" s="13" t="s">
        <v>486</v>
      </c>
      <c r="E11" s="13" t="s">
        <v>487</v>
      </c>
      <c r="F11" s="13" t="s">
        <v>488</v>
      </c>
      <c r="G11" s="13" t="s">
        <v>489</v>
      </c>
      <c r="H11" s="13" t="s">
        <v>263</v>
      </c>
      <c r="I11" s="13"/>
      <c r="J11" s="13"/>
    </row>
    <row r="12" spans="1:10" ht="87" x14ac:dyDescent="0.35">
      <c r="A12" s="14" t="s">
        <v>490</v>
      </c>
      <c r="B12" s="14" t="s">
        <v>491</v>
      </c>
      <c r="C12" s="14" t="s">
        <v>492</v>
      </c>
      <c r="D12" s="14" t="s">
        <v>493</v>
      </c>
      <c r="E12" s="14" t="s">
        <v>494</v>
      </c>
      <c r="F12" s="14" t="s">
        <v>495</v>
      </c>
      <c r="G12" s="14" t="s">
        <v>496</v>
      </c>
      <c r="H12" s="14" t="s">
        <v>263</v>
      </c>
      <c r="I12" s="13"/>
      <c r="J12" s="1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04E2-6C20-4556-A90D-7FEB65027DDB}">
  <dimension ref="A1:K37"/>
  <sheetViews>
    <sheetView zoomScale="85" zoomScaleNormal="85" workbookViewId="0">
      <pane xSplit="1" ySplit="1" topLeftCell="C2" activePane="bottomRight" state="frozen"/>
      <selection pane="topRight" activeCell="B1" sqref="B1"/>
      <selection pane="bottomLeft" activeCell="A2" sqref="A2"/>
      <selection pane="bottomRight" activeCell="J20" sqref="J20"/>
    </sheetView>
  </sheetViews>
  <sheetFormatPr defaultRowHeight="14.5" x14ac:dyDescent="0.35"/>
  <cols>
    <col min="1" max="1" width="37.54296875" customWidth="1"/>
    <col min="2" max="2" width="30.26953125" bestFit="1" customWidth="1"/>
    <col min="3" max="3" width="7.54296875" bestFit="1" customWidth="1"/>
    <col min="4" max="4" width="15.1796875" customWidth="1"/>
    <col min="5" max="5" width="25.1796875" bestFit="1" customWidth="1"/>
    <col min="6" max="6" width="36.81640625" customWidth="1"/>
    <col min="7" max="7" width="19.54296875" style="5" bestFit="1" customWidth="1"/>
    <col min="8" max="8" width="24.1796875" style="2" bestFit="1" customWidth="1"/>
    <col min="9" max="9" width="24.54296875" style="2" bestFit="1" customWidth="1"/>
    <col min="10" max="10" width="23.453125" style="2" bestFit="1" customWidth="1"/>
    <col min="11" max="11" width="69.1796875" customWidth="1"/>
  </cols>
  <sheetData>
    <row r="1" spans="1:11" s="1" customFormat="1" x14ac:dyDescent="0.35">
      <c r="A1" s="1" t="s">
        <v>497</v>
      </c>
      <c r="B1" s="1" t="s">
        <v>498</v>
      </c>
      <c r="C1" s="1" t="s">
        <v>499</v>
      </c>
      <c r="D1" s="1" t="s">
        <v>500</v>
      </c>
      <c r="E1" s="1" t="s">
        <v>501</v>
      </c>
      <c r="F1" s="1" t="s">
        <v>502</v>
      </c>
      <c r="G1" s="3" t="s">
        <v>503</v>
      </c>
      <c r="H1" s="4" t="s">
        <v>504</v>
      </c>
      <c r="I1" s="4" t="s">
        <v>505</v>
      </c>
      <c r="J1" s="4" t="s">
        <v>506</v>
      </c>
      <c r="K1" s="1" t="s">
        <v>507</v>
      </c>
    </row>
    <row r="2" spans="1:11" x14ac:dyDescent="0.35">
      <c r="A2" t="s">
        <v>508</v>
      </c>
      <c r="B2" t="s">
        <v>509</v>
      </c>
      <c r="E2" t="s">
        <v>510</v>
      </c>
      <c r="F2" t="s">
        <v>382</v>
      </c>
      <c r="G2" s="5">
        <v>-1.1000000000000001E-3</v>
      </c>
      <c r="H2" s="2">
        <v>70</v>
      </c>
      <c r="I2" s="2">
        <v>53000</v>
      </c>
      <c r="J2" s="2">
        <v>3300</v>
      </c>
      <c r="K2" t="s">
        <v>511</v>
      </c>
    </row>
    <row r="3" spans="1:11" x14ac:dyDescent="0.35">
      <c r="A3" t="s">
        <v>512</v>
      </c>
      <c r="B3" t="s">
        <v>513</v>
      </c>
      <c r="E3" t="s">
        <v>514</v>
      </c>
      <c r="F3" t="s">
        <v>382</v>
      </c>
      <c r="G3" s="5">
        <v>-1.1000000000000001E-3</v>
      </c>
      <c r="H3" s="2">
        <v>70</v>
      </c>
      <c r="I3" s="2">
        <v>53000</v>
      </c>
      <c r="J3" s="2">
        <v>3300</v>
      </c>
      <c r="K3" t="s">
        <v>511</v>
      </c>
    </row>
    <row r="4" spans="1:11" x14ac:dyDescent="0.35">
      <c r="A4" t="s">
        <v>515</v>
      </c>
      <c r="B4" t="s">
        <v>516</v>
      </c>
      <c r="E4" t="s">
        <v>510</v>
      </c>
      <c r="F4" t="s">
        <v>382</v>
      </c>
      <c r="G4" s="5">
        <v>-1E-4</v>
      </c>
      <c r="H4" s="2">
        <v>70</v>
      </c>
      <c r="I4" s="2">
        <v>50000</v>
      </c>
      <c r="J4" s="2">
        <v>300</v>
      </c>
      <c r="K4" t="s">
        <v>517</v>
      </c>
    </row>
    <row r="5" spans="1:11" x14ac:dyDescent="0.35">
      <c r="A5" t="s">
        <v>518</v>
      </c>
      <c r="B5" t="s">
        <v>519</v>
      </c>
      <c r="E5" t="s">
        <v>514</v>
      </c>
      <c r="F5" t="s">
        <v>382</v>
      </c>
      <c r="G5" s="5">
        <v>-1E-4</v>
      </c>
      <c r="H5" s="2">
        <v>70</v>
      </c>
      <c r="I5" s="2">
        <v>50000</v>
      </c>
      <c r="J5" s="2">
        <v>300</v>
      </c>
      <c r="K5" t="s">
        <v>517</v>
      </c>
    </row>
    <row r="6" spans="1:11" x14ac:dyDescent="0.35">
      <c r="A6" t="s">
        <v>520</v>
      </c>
      <c r="B6" t="s">
        <v>521</v>
      </c>
      <c r="E6" t="s">
        <v>521</v>
      </c>
      <c r="F6" t="s">
        <v>382</v>
      </c>
      <c r="G6" s="5">
        <v>0</v>
      </c>
      <c r="H6" s="2">
        <v>70</v>
      </c>
      <c r="I6" s="2">
        <v>50000</v>
      </c>
      <c r="J6" s="2">
        <v>200</v>
      </c>
      <c r="K6" t="s">
        <v>522</v>
      </c>
    </row>
    <row r="7" spans="1:11" x14ac:dyDescent="0.35">
      <c r="A7" t="s">
        <v>523</v>
      </c>
      <c r="B7" t="s">
        <v>524</v>
      </c>
      <c r="E7" t="s">
        <v>525</v>
      </c>
      <c r="F7" t="s">
        <v>382</v>
      </c>
      <c r="G7" s="5">
        <v>2.6</v>
      </c>
      <c r="H7" s="2">
        <v>100000</v>
      </c>
      <c r="I7" s="2">
        <v>1000000</v>
      </c>
      <c r="J7" s="2">
        <v>500000</v>
      </c>
      <c r="K7" t="s">
        <v>526</v>
      </c>
    </row>
    <row r="8" spans="1:11" x14ac:dyDescent="0.35">
      <c r="A8" t="s">
        <v>527</v>
      </c>
      <c r="B8" t="s">
        <v>528</v>
      </c>
      <c r="E8" t="s">
        <v>525</v>
      </c>
      <c r="F8" t="s">
        <v>261</v>
      </c>
      <c r="G8" s="5">
        <v>34</v>
      </c>
      <c r="H8" s="2">
        <v>5000</v>
      </c>
      <c r="I8" s="2">
        <v>1000000</v>
      </c>
      <c r="J8" s="2">
        <v>100000</v>
      </c>
      <c r="K8" t="s">
        <v>529</v>
      </c>
    </row>
    <row r="9" spans="1:11" x14ac:dyDescent="0.35">
      <c r="A9" t="s">
        <v>530</v>
      </c>
      <c r="B9" t="s">
        <v>531</v>
      </c>
      <c r="E9" t="s">
        <v>525</v>
      </c>
      <c r="F9" t="s">
        <v>269</v>
      </c>
      <c r="G9" s="5">
        <v>56</v>
      </c>
      <c r="H9" s="2">
        <v>95000</v>
      </c>
      <c r="I9" s="2">
        <v>290000</v>
      </c>
      <c r="J9" s="2">
        <v>150000</v>
      </c>
      <c r="K9" t="s">
        <v>532</v>
      </c>
    </row>
    <row r="10" spans="1:11" x14ac:dyDescent="0.35">
      <c r="A10" t="s">
        <v>274</v>
      </c>
      <c r="B10" t="s">
        <v>533</v>
      </c>
      <c r="C10" t="s">
        <v>534</v>
      </c>
      <c r="D10" t="s">
        <v>534</v>
      </c>
      <c r="E10" t="s">
        <v>525</v>
      </c>
      <c r="F10" t="s">
        <v>277</v>
      </c>
      <c r="G10" s="5">
        <v>66</v>
      </c>
      <c r="H10" s="2">
        <v>9.9999999999999995E-8</v>
      </c>
      <c r="I10" s="2">
        <v>185000</v>
      </c>
      <c r="J10" s="2">
        <v>30</v>
      </c>
      <c r="K10" t="s">
        <v>535</v>
      </c>
    </row>
    <row r="11" spans="1:11" x14ac:dyDescent="0.35">
      <c r="A11" t="s">
        <v>536</v>
      </c>
      <c r="B11" t="s">
        <v>537</v>
      </c>
      <c r="E11" t="s">
        <v>525</v>
      </c>
      <c r="F11" t="s">
        <v>269</v>
      </c>
      <c r="G11" s="5">
        <v>94</v>
      </c>
      <c r="H11" s="2">
        <v>30000</v>
      </c>
      <c r="I11" s="2">
        <v>930000</v>
      </c>
      <c r="J11" s="2">
        <v>500000</v>
      </c>
      <c r="K11" t="s">
        <v>538</v>
      </c>
    </row>
    <row r="12" spans="1:11" x14ac:dyDescent="0.35">
      <c r="A12" t="s">
        <v>539</v>
      </c>
      <c r="B12" t="s">
        <v>540</v>
      </c>
      <c r="E12" t="s">
        <v>525</v>
      </c>
      <c r="F12" t="s">
        <v>269</v>
      </c>
      <c r="G12" s="5">
        <v>120</v>
      </c>
      <c r="H12" s="2">
        <v>115000</v>
      </c>
      <c r="I12" s="2">
        <v>1116000</v>
      </c>
      <c r="J12" s="2">
        <v>500000</v>
      </c>
      <c r="K12" t="s">
        <v>541</v>
      </c>
    </row>
    <row r="13" spans="1:11" x14ac:dyDescent="0.35">
      <c r="A13" t="s">
        <v>423</v>
      </c>
      <c r="B13" t="s">
        <v>542</v>
      </c>
      <c r="E13" t="s">
        <v>543</v>
      </c>
      <c r="F13" t="s">
        <v>544</v>
      </c>
      <c r="G13" s="5">
        <v>140</v>
      </c>
      <c r="H13" s="2">
        <v>50000000</v>
      </c>
      <c r="I13" s="2">
        <v>100000000</v>
      </c>
      <c r="J13" s="2">
        <v>75000000</v>
      </c>
      <c r="K13" t="s">
        <v>545</v>
      </c>
    </row>
    <row r="14" spans="1:11" x14ac:dyDescent="0.35">
      <c r="A14" t="s">
        <v>546</v>
      </c>
      <c r="B14" t="s">
        <v>547</v>
      </c>
      <c r="E14" t="s">
        <v>525</v>
      </c>
      <c r="F14" t="s">
        <v>261</v>
      </c>
      <c r="G14" s="5">
        <v>143.1</v>
      </c>
      <c r="H14" s="2">
        <v>100000</v>
      </c>
      <c r="I14" s="2">
        <v>5000000</v>
      </c>
      <c r="J14" s="2">
        <v>1000000</v>
      </c>
      <c r="K14" t="s">
        <v>548</v>
      </c>
    </row>
    <row r="15" spans="1:11" x14ac:dyDescent="0.35">
      <c r="A15" t="s">
        <v>549</v>
      </c>
      <c r="B15" t="s">
        <v>550</v>
      </c>
      <c r="E15" t="s">
        <v>525</v>
      </c>
      <c r="F15" t="s">
        <v>261</v>
      </c>
      <c r="G15" s="5">
        <v>183</v>
      </c>
      <c r="H15" s="2">
        <v>40000</v>
      </c>
      <c r="I15" s="2">
        <v>1000000</v>
      </c>
      <c r="J15" s="2">
        <v>500000</v>
      </c>
      <c r="K15" t="s">
        <v>551</v>
      </c>
    </row>
    <row r="16" spans="1:11" x14ac:dyDescent="0.35">
      <c r="A16" t="s">
        <v>299</v>
      </c>
      <c r="B16" t="s">
        <v>552</v>
      </c>
      <c r="C16" t="s">
        <v>534</v>
      </c>
      <c r="E16" t="s">
        <v>525</v>
      </c>
      <c r="F16" t="s">
        <v>302</v>
      </c>
      <c r="G16" s="5">
        <v>201</v>
      </c>
      <c r="H16" s="2">
        <v>40000</v>
      </c>
      <c r="I16" s="2">
        <v>1100000</v>
      </c>
      <c r="J16" s="2">
        <v>85000</v>
      </c>
      <c r="K16" t="s">
        <v>553</v>
      </c>
    </row>
    <row r="17" spans="1:11" x14ac:dyDescent="0.35">
      <c r="A17" t="s">
        <v>306</v>
      </c>
      <c r="B17" t="s">
        <v>554</v>
      </c>
      <c r="E17" t="s">
        <v>525</v>
      </c>
      <c r="F17" t="s">
        <v>310</v>
      </c>
      <c r="G17" s="5">
        <v>234</v>
      </c>
      <c r="H17" s="2">
        <v>800000</v>
      </c>
      <c r="I17" s="2">
        <v>1200000</v>
      </c>
      <c r="J17" s="2">
        <v>1090000</v>
      </c>
      <c r="K17" t="s">
        <v>555</v>
      </c>
    </row>
    <row r="18" spans="1:11" x14ac:dyDescent="0.35">
      <c r="A18" t="s">
        <v>556</v>
      </c>
      <c r="B18" t="s">
        <v>557</v>
      </c>
      <c r="E18" t="s">
        <v>525</v>
      </c>
      <c r="F18" t="s">
        <v>261</v>
      </c>
      <c r="G18" s="5">
        <v>248</v>
      </c>
      <c r="H18" s="2">
        <v>100000</v>
      </c>
      <c r="I18" s="2">
        <v>1800000</v>
      </c>
      <c r="J18" s="2">
        <v>1000000</v>
      </c>
      <c r="K18" t="s">
        <v>558</v>
      </c>
    </row>
    <row r="19" spans="1:11" x14ac:dyDescent="0.35">
      <c r="A19" t="s">
        <v>559</v>
      </c>
      <c r="B19" t="s">
        <v>560</v>
      </c>
      <c r="C19" t="s">
        <v>534</v>
      </c>
      <c r="D19" t="s">
        <v>534</v>
      </c>
      <c r="E19" t="s">
        <v>525</v>
      </c>
      <c r="F19" t="s">
        <v>277</v>
      </c>
      <c r="G19" s="5">
        <v>252</v>
      </c>
      <c r="H19" s="2">
        <v>10000</v>
      </c>
      <c r="I19" s="2">
        <v>1000000</v>
      </c>
      <c r="J19" s="2">
        <v>60000</v>
      </c>
      <c r="K19" t="s">
        <v>561</v>
      </c>
    </row>
    <row r="20" spans="1:11" x14ac:dyDescent="0.35">
      <c r="A20" t="s">
        <v>562</v>
      </c>
      <c r="B20" t="s">
        <v>563</v>
      </c>
      <c r="E20" t="s">
        <v>525</v>
      </c>
      <c r="F20" t="s">
        <v>302</v>
      </c>
      <c r="G20" s="5">
        <v>262</v>
      </c>
      <c r="H20" s="2">
        <v>500000</v>
      </c>
      <c r="I20" s="2">
        <v>4000000</v>
      </c>
      <c r="J20" s="2">
        <v>1500000</v>
      </c>
      <c r="K20" t="s">
        <v>564</v>
      </c>
    </row>
    <row r="21" spans="1:11" x14ac:dyDescent="0.35">
      <c r="A21" t="s">
        <v>336</v>
      </c>
      <c r="B21" t="s">
        <v>565</v>
      </c>
      <c r="E21" t="s">
        <v>525</v>
      </c>
      <c r="F21" t="s">
        <v>382</v>
      </c>
      <c r="G21" s="5">
        <v>325</v>
      </c>
      <c r="H21" s="2">
        <v>1000000</v>
      </c>
      <c r="I21" s="2">
        <v>7000000</v>
      </c>
      <c r="J21" s="2">
        <v>4000000</v>
      </c>
      <c r="K21" t="s">
        <v>566</v>
      </c>
    </row>
    <row r="22" spans="1:11" x14ac:dyDescent="0.35">
      <c r="A22" t="s">
        <v>567</v>
      </c>
      <c r="B22" t="s">
        <v>568</v>
      </c>
      <c r="E22" t="s">
        <v>525</v>
      </c>
      <c r="F22" t="s">
        <v>345</v>
      </c>
      <c r="G22" s="5">
        <v>360</v>
      </c>
      <c r="H22" s="2">
        <v>50000</v>
      </c>
      <c r="I22" s="2">
        <v>300000</v>
      </c>
      <c r="J22" s="2">
        <v>100000</v>
      </c>
      <c r="K22" t="s">
        <v>569</v>
      </c>
    </row>
    <row r="23" spans="1:11" x14ac:dyDescent="0.35">
      <c r="A23" t="s">
        <v>570</v>
      </c>
      <c r="B23" t="s">
        <v>571</v>
      </c>
      <c r="C23" t="s">
        <v>534</v>
      </c>
      <c r="E23" t="s">
        <v>525</v>
      </c>
      <c r="F23" t="s">
        <v>261</v>
      </c>
      <c r="G23" s="5">
        <v>371</v>
      </c>
      <c r="H23" s="2">
        <v>90000</v>
      </c>
      <c r="I23" s="2">
        <v>600000</v>
      </c>
      <c r="J23" s="2">
        <v>100000</v>
      </c>
      <c r="K23" t="s">
        <v>350</v>
      </c>
    </row>
    <row r="24" spans="1:11" x14ac:dyDescent="0.35">
      <c r="A24" t="s">
        <v>572</v>
      </c>
      <c r="B24" t="s">
        <v>573</v>
      </c>
      <c r="E24" t="s">
        <v>525</v>
      </c>
      <c r="F24" t="s">
        <v>261</v>
      </c>
      <c r="G24" s="5">
        <v>381</v>
      </c>
      <c r="H24" s="2">
        <v>100000</v>
      </c>
      <c r="I24" s="2">
        <v>2000000</v>
      </c>
      <c r="J24" s="2">
        <v>1500000</v>
      </c>
      <c r="K24" t="s">
        <v>574</v>
      </c>
    </row>
    <row r="25" spans="1:11" x14ac:dyDescent="0.35">
      <c r="A25" t="s">
        <v>575</v>
      </c>
      <c r="B25" t="s">
        <v>576</v>
      </c>
      <c r="E25" t="s">
        <v>525</v>
      </c>
      <c r="F25" t="s">
        <v>363</v>
      </c>
      <c r="G25" s="5">
        <v>386</v>
      </c>
      <c r="H25" s="2">
        <v>10000</v>
      </c>
      <c r="I25" s="2">
        <v>370000</v>
      </c>
      <c r="J25" s="2">
        <v>100000</v>
      </c>
      <c r="K25" t="s">
        <v>577</v>
      </c>
    </row>
    <row r="26" spans="1:11" x14ac:dyDescent="0.35">
      <c r="A26" t="s">
        <v>578</v>
      </c>
      <c r="B26" t="s">
        <v>579</v>
      </c>
      <c r="E26" t="s">
        <v>525</v>
      </c>
      <c r="F26" t="s">
        <v>269</v>
      </c>
      <c r="G26" s="5">
        <v>423.5</v>
      </c>
      <c r="H26" s="2">
        <v>100000</v>
      </c>
      <c r="I26" s="2">
        <v>1000000</v>
      </c>
      <c r="J26" s="2">
        <v>500000</v>
      </c>
      <c r="K26" t="s">
        <v>580</v>
      </c>
    </row>
    <row r="27" spans="1:11" x14ac:dyDescent="0.35">
      <c r="A27" t="s">
        <v>581</v>
      </c>
      <c r="B27" t="s">
        <v>582</v>
      </c>
      <c r="E27" t="s">
        <v>525</v>
      </c>
      <c r="F27" t="s">
        <v>302</v>
      </c>
      <c r="G27" s="5">
        <v>428</v>
      </c>
      <c r="H27" s="2">
        <v>100000</v>
      </c>
      <c r="I27" s="2">
        <v>2000000</v>
      </c>
      <c r="J27" s="2">
        <v>1000000</v>
      </c>
      <c r="K27" t="s">
        <v>583</v>
      </c>
    </row>
    <row r="28" spans="1:11" x14ac:dyDescent="0.35">
      <c r="A28" t="s">
        <v>584</v>
      </c>
      <c r="B28" t="s">
        <v>585</v>
      </c>
      <c r="E28" t="s">
        <v>525</v>
      </c>
      <c r="F28" t="s">
        <v>302</v>
      </c>
      <c r="G28" s="5">
        <v>433</v>
      </c>
      <c r="H28" s="2">
        <v>100000</v>
      </c>
      <c r="I28" s="2">
        <v>1500000</v>
      </c>
      <c r="J28" s="2">
        <v>1000000</v>
      </c>
      <c r="K28" t="s">
        <v>586</v>
      </c>
    </row>
    <row r="29" spans="1:11" x14ac:dyDescent="0.35">
      <c r="A29" t="s">
        <v>587</v>
      </c>
      <c r="B29" t="s">
        <v>588</v>
      </c>
      <c r="C29" t="s">
        <v>534</v>
      </c>
      <c r="D29" t="s">
        <v>534</v>
      </c>
      <c r="E29" t="s">
        <v>525</v>
      </c>
      <c r="F29" t="s">
        <v>382</v>
      </c>
      <c r="G29" s="5">
        <v>445</v>
      </c>
      <c r="H29" s="2">
        <v>60000</v>
      </c>
      <c r="I29" s="2">
        <v>1400000</v>
      </c>
      <c r="J29" s="2">
        <v>500000</v>
      </c>
      <c r="K29" t="s">
        <v>589</v>
      </c>
    </row>
    <row r="30" spans="1:11" x14ac:dyDescent="0.35">
      <c r="A30" t="s">
        <v>590</v>
      </c>
      <c r="B30" t="s">
        <v>591</v>
      </c>
      <c r="E30" t="s">
        <v>543</v>
      </c>
      <c r="F30" t="s">
        <v>592</v>
      </c>
      <c r="G30" s="5">
        <v>475</v>
      </c>
      <c r="H30" s="2">
        <v>30000000</v>
      </c>
      <c r="I30" s="2">
        <v>90000000</v>
      </c>
      <c r="J30" s="2">
        <v>60000000</v>
      </c>
      <c r="K30" t="s">
        <v>593</v>
      </c>
    </row>
    <row r="31" spans="1:11" x14ac:dyDescent="0.35">
      <c r="A31" t="s">
        <v>445</v>
      </c>
      <c r="B31" t="s">
        <v>594</v>
      </c>
      <c r="E31" t="s">
        <v>543</v>
      </c>
      <c r="F31" t="s">
        <v>595</v>
      </c>
      <c r="G31" s="5">
        <v>490</v>
      </c>
      <c r="H31" s="2">
        <v>20000000</v>
      </c>
      <c r="I31" s="2">
        <v>50000000</v>
      </c>
      <c r="J31" s="2">
        <v>30000000</v>
      </c>
      <c r="K31" t="s">
        <v>596</v>
      </c>
    </row>
    <row r="32" spans="1:11" x14ac:dyDescent="0.35">
      <c r="A32" t="s">
        <v>386</v>
      </c>
      <c r="B32" t="s">
        <v>597</v>
      </c>
      <c r="E32" t="s">
        <v>525</v>
      </c>
      <c r="F32" t="s">
        <v>598</v>
      </c>
      <c r="G32" s="5">
        <v>495</v>
      </c>
      <c r="H32" s="2">
        <v>1600000</v>
      </c>
      <c r="I32" s="2">
        <v>3500000</v>
      </c>
      <c r="J32" s="2">
        <v>2600000</v>
      </c>
      <c r="K32" t="s">
        <v>599</v>
      </c>
    </row>
    <row r="33" spans="1:11" x14ac:dyDescent="0.35">
      <c r="A33" t="s">
        <v>600</v>
      </c>
      <c r="B33" t="s">
        <v>601</v>
      </c>
      <c r="E33" t="s">
        <v>525</v>
      </c>
      <c r="F33" t="s">
        <v>269</v>
      </c>
      <c r="G33" s="5">
        <v>507</v>
      </c>
      <c r="H33" s="2">
        <v>10000</v>
      </c>
      <c r="I33" s="2">
        <v>1000000</v>
      </c>
      <c r="J33" s="2">
        <v>500000</v>
      </c>
      <c r="K33" t="s">
        <v>602</v>
      </c>
    </row>
    <row r="34" spans="1:11" x14ac:dyDescent="0.35">
      <c r="A34" t="s">
        <v>603</v>
      </c>
      <c r="B34" t="s">
        <v>604</v>
      </c>
      <c r="E34" t="s">
        <v>525</v>
      </c>
      <c r="F34" t="s">
        <v>269</v>
      </c>
      <c r="G34" s="5">
        <v>513</v>
      </c>
      <c r="H34" s="2">
        <v>10000</v>
      </c>
      <c r="I34" s="2">
        <v>2600000</v>
      </c>
      <c r="J34" s="2">
        <v>1000000</v>
      </c>
      <c r="K34" t="s">
        <v>605</v>
      </c>
    </row>
    <row r="35" spans="1:11" x14ac:dyDescent="0.35">
      <c r="A35" t="s">
        <v>452</v>
      </c>
      <c r="B35" t="s">
        <v>606</v>
      </c>
      <c r="E35" t="s">
        <v>543</v>
      </c>
      <c r="F35" t="s">
        <v>544</v>
      </c>
      <c r="G35" s="5">
        <v>545</v>
      </c>
      <c r="H35" s="2">
        <v>1000000</v>
      </c>
      <c r="I35" s="2">
        <v>40000000</v>
      </c>
      <c r="J35" s="2">
        <v>40000000</v>
      </c>
      <c r="K35" t="s">
        <v>607</v>
      </c>
    </row>
    <row r="36" spans="1:11" x14ac:dyDescent="0.35">
      <c r="A36" t="s">
        <v>608</v>
      </c>
      <c r="B36" t="s">
        <v>609</v>
      </c>
      <c r="E36" t="s">
        <v>543</v>
      </c>
      <c r="F36" t="s">
        <v>610</v>
      </c>
      <c r="G36" s="5">
        <v>2220</v>
      </c>
      <c r="H36" s="2">
        <v>10000000</v>
      </c>
      <c r="I36" s="2">
        <v>1000000000</v>
      </c>
      <c r="J36" s="2">
        <v>100000000</v>
      </c>
      <c r="K36" t="s">
        <v>611</v>
      </c>
    </row>
    <row r="37" spans="1:11" x14ac:dyDescent="0.35">
      <c r="A37" t="s">
        <v>612</v>
      </c>
      <c r="B37" t="s">
        <v>613</v>
      </c>
      <c r="E37" t="s">
        <v>543</v>
      </c>
      <c r="F37" t="s">
        <v>610</v>
      </c>
      <c r="G37" s="5">
        <v>2400</v>
      </c>
      <c r="H37" s="2">
        <v>200000000</v>
      </c>
      <c r="I37" s="2">
        <v>1500000000</v>
      </c>
      <c r="J37" s="2">
        <v>500000000</v>
      </c>
      <c r="K37" t="s">
        <v>614</v>
      </c>
    </row>
  </sheetData>
  <autoFilter ref="A1:K36" xr:uid="{62F304E2-6C20-4556-A90D-7FEB65027DDB}">
    <sortState xmlns:xlrd2="http://schemas.microsoft.com/office/spreadsheetml/2017/richdata2" ref="A2:K37">
      <sortCondition ref="G1:G36"/>
    </sortState>
  </autoFilter>
  <sortState xmlns:xlrd2="http://schemas.microsoft.com/office/spreadsheetml/2017/richdata2" ref="A29:G32">
    <sortCondition ref="G29:G32"/>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8F2A-9679-4EF9-AF0E-D8FFC761CBFC}">
  <dimension ref="A1:E13"/>
  <sheetViews>
    <sheetView zoomScale="115" zoomScaleNormal="115" workbookViewId="0"/>
  </sheetViews>
  <sheetFormatPr defaultRowHeight="14.5" x14ac:dyDescent="0.35"/>
  <cols>
    <col min="1" max="1" width="13.54296875" bestFit="1" customWidth="1"/>
    <col min="2" max="2" width="17" bestFit="1" customWidth="1"/>
    <col min="3" max="3" width="21.26953125" bestFit="1" customWidth="1"/>
    <col min="4" max="4" width="21.54296875" bestFit="1" customWidth="1"/>
    <col min="5" max="5" width="20.54296875" bestFit="1" customWidth="1"/>
  </cols>
  <sheetData>
    <row r="1" spans="1:5" s="1" customFormat="1" x14ac:dyDescent="0.35">
      <c r="A1" s="17" t="s">
        <v>615</v>
      </c>
      <c r="B1" s="17" t="s">
        <v>616</v>
      </c>
      <c r="C1" s="18" t="s">
        <v>504</v>
      </c>
      <c r="D1" s="18" t="s">
        <v>505</v>
      </c>
      <c r="E1" s="18" t="s">
        <v>506</v>
      </c>
    </row>
    <row r="2" spans="1:5" x14ac:dyDescent="0.35">
      <c r="A2" t="s">
        <v>543</v>
      </c>
      <c r="B2" t="s">
        <v>617</v>
      </c>
      <c r="C2" s="2">
        <f>AVERAGEIF(table_s3_events!$E:$E, $A$2, table_s3_events!$H:$H)</f>
        <v>51833333.333333336</v>
      </c>
      <c r="D2" s="2">
        <f>AVERAGEIF(table_s3_events!$E:$E, $A$2, table_s3_events!$I:$I)</f>
        <v>463333333.33333331</v>
      </c>
      <c r="E2" s="2">
        <f>AVERAGEIF(table_s3_events!$E:$E, $A$2, table_s3_events!$J:$J)</f>
        <v>134166666.66666667</v>
      </c>
    </row>
    <row r="3" spans="1:5" x14ac:dyDescent="0.35">
      <c r="A3" t="s">
        <v>543</v>
      </c>
      <c r="B3" t="s">
        <v>618</v>
      </c>
      <c r="C3" s="2" cm="1">
        <f t="array" ref="C3">MEDIAN(IF(table_s3_events!$E:$E = $A$3, table_s3_events!$H:$H))</f>
        <v>25000000</v>
      </c>
      <c r="D3" s="2" cm="1">
        <f t="array" ref="D3">MEDIAN(IF(table_s3_events!$E:$E = $A$3, table_s3_events!$I:$I))</f>
        <v>95000000</v>
      </c>
      <c r="E3" s="2" cm="1">
        <f t="array" ref="E3">MEDIAN(IF(table_s3_events!$E:$E = $A$3, table_s3_events!$J:$J))</f>
        <v>67500000</v>
      </c>
    </row>
    <row r="4" spans="1:5" x14ac:dyDescent="0.35">
      <c r="A4" t="s">
        <v>543</v>
      </c>
      <c r="B4" t="s">
        <v>619</v>
      </c>
      <c r="C4" s="2" cm="1">
        <f t="array" ref="C4">_xlfn.STDEV.P(IF(table_s3_events!$E:$E=$A$4, table_s3_events!$H:$H))</f>
        <v>68045123.917066157</v>
      </c>
      <c r="D4" s="2" cm="1">
        <f t="array" ref="D4">_xlfn.STDEV.P(IF(table_s3_events!$E:$E=$A$4, table_s3_events!$I:$I))</f>
        <v>575055552.87197161</v>
      </c>
      <c r="E4" s="2" cm="1">
        <f t="array" ref="E4">_xlfn.STDEV.P(IF(table_s3_events!$E:$E=$A$4, table_s3_events!$J:$J))</f>
        <v>165187183.3876816</v>
      </c>
    </row>
    <row r="5" spans="1:5" x14ac:dyDescent="0.35">
      <c r="A5" t="s">
        <v>543</v>
      </c>
      <c r="B5" t="s">
        <v>620</v>
      </c>
      <c r="C5" s="2" cm="1">
        <f t="array" ref="C5">MAX(IF(table_s3_events!$E:$E=$A$5,table_s3_events!$H:$H))</f>
        <v>200000000</v>
      </c>
      <c r="D5" s="2" cm="1">
        <f t="array" ref="D5">MAX(IF(table_s3_events!$E:$E=$A$4, table_s3_events!$I:$I))</f>
        <v>1500000000</v>
      </c>
      <c r="E5" s="2" cm="1">
        <f t="array" ref="E5">MAX(IF(table_s3_events!$E:$E=$A$4, table_s3_events!$J:$J))</f>
        <v>500000000</v>
      </c>
    </row>
    <row r="6" spans="1:5" x14ac:dyDescent="0.35">
      <c r="A6" t="s">
        <v>543</v>
      </c>
      <c r="B6" t="s">
        <v>621</v>
      </c>
      <c r="C6" s="2" cm="1">
        <f t="array" ref="C6">MIN(IF(table_s3_events!$E:$E=$A$4, table_s3_events!$H:$H))</f>
        <v>1000000</v>
      </c>
      <c r="D6" s="2" cm="1">
        <f t="array" ref="D6">MIN(IF(table_s3_events!$E:$E=$A$4, table_s3_events!$I:$I))</f>
        <v>40000000</v>
      </c>
      <c r="E6" s="2" cm="1">
        <f t="array" ref="E6">MIN(IF(table_s3_events!$E:$E=$A$4, table_s3_events!$J:$J))</f>
        <v>30000000</v>
      </c>
    </row>
    <row r="7" spans="1:5" x14ac:dyDescent="0.35">
      <c r="A7" s="15" t="s">
        <v>543</v>
      </c>
      <c r="B7" s="15" t="s">
        <v>622</v>
      </c>
      <c r="C7" s="16" cm="1">
        <f t="array" ref="C7">COUNT(IF(table_s3_events!$E:$E=$A$7, table_s3_events!$H:$H))</f>
        <v>6</v>
      </c>
      <c r="D7" s="16" cm="1">
        <f t="array" ref="D7">COUNT(IF(table_s3_events!$E:$E=$A$7, table_s3_events!$I:$I))</f>
        <v>6</v>
      </c>
      <c r="E7" s="16" cm="1">
        <f t="array" ref="E7">COUNT(IF(table_s3_events!$E:$E=$A$7, table_s3_events!$J:$J))</f>
        <v>6</v>
      </c>
    </row>
    <row r="8" spans="1:5" x14ac:dyDescent="0.35">
      <c r="A8" t="s">
        <v>525</v>
      </c>
      <c r="B8" t="s">
        <v>617</v>
      </c>
      <c r="C8" s="2">
        <f>AVERAGEIF(table_s3_events!$E:$E, $A$8, table_s3_events!$H:$H)</f>
        <v>206600.00000000402</v>
      </c>
      <c r="D8" s="2">
        <f>AVERAGEIF(table_s3_events!$E:$E, $A$8, table_s3_events!$I:$I)</f>
        <v>1715640</v>
      </c>
      <c r="E8" s="2">
        <f>AVERAGEIF(table_s3_events!$E:$E, $A$8, table_s3_events!$J:$J)</f>
        <v>795401.2</v>
      </c>
    </row>
    <row r="9" spans="1:5" x14ac:dyDescent="0.35">
      <c r="A9" t="s">
        <v>525</v>
      </c>
      <c r="B9" t="s">
        <v>618</v>
      </c>
      <c r="C9" s="2" cm="1">
        <f t="array" ref="C9">MEDIAN(IF(table_s3_events!$E:$E = $A$9, table_s3_events!$J:$J))</f>
        <v>500000</v>
      </c>
      <c r="D9" s="2" cm="1">
        <f t="array" ref="D9">MEDIAN(IF(table_s3_events!$E:$E = $A$9, table_s3_events!$J:$J))</f>
        <v>500000</v>
      </c>
      <c r="E9" s="2" cm="1">
        <f t="array" ref="E9">MEDIAN(IF(table_s3_events!$E:$E = $A$9, table_s3_events!$J:$J))</f>
        <v>500000</v>
      </c>
    </row>
    <row r="10" spans="1:5" x14ac:dyDescent="0.35">
      <c r="A10" t="s">
        <v>525</v>
      </c>
      <c r="B10" t="s">
        <v>619</v>
      </c>
      <c r="C10" s="2" cm="1">
        <f t="array" ref="C10">_xlfn.STDEV.P(IF(table_s3_events!$E:$E=$A$10, table_s3_events!$H:$H))</f>
        <v>373838.78878468234</v>
      </c>
      <c r="D10" s="2" cm="1">
        <f t="array" ref="D10">_xlfn.STDEV.P(IF(table_s3_events!$E:$E=$A$10, table_s3_events!$I:$I))</f>
        <v>1579114.5083242063</v>
      </c>
      <c r="E10" s="2" cm="1">
        <f t="array" ref="E10">_xlfn.STDEV.P(IF(table_s3_events!$E:$E=$A$10, table_s3_events!$J:$J))</f>
        <v>882153.00887916272</v>
      </c>
    </row>
    <row r="11" spans="1:5" x14ac:dyDescent="0.35">
      <c r="A11" t="s">
        <v>525</v>
      </c>
      <c r="B11" t="s">
        <v>620</v>
      </c>
      <c r="C11" s="2" cm="1">
        <f t="array" ref="C11">MAX(IF(table_s3_events!$E:$E=$A$11, table_s3_events!$H:$H))</f>
        <v>1600000</v>
      </c>
      <c r="D11" s="2" cm="1">
        <f t="array" ref="D11">MAX(IF(table_s3_events!$E:$E=$A$11, table_s3_events!$I:$I))</f>
        <v>7000000</v>
      </c>
      <c r="E11" s="2" cm="1">
        <f t="array" ref="E11">MAX(IF(table_s3_events!$E:$E=$A$11, table_s3_events!$J:$J))</f>
        <v>4000000</v>
      </c>
    </row>
    <row r="12" spans="1:5" x14ac:dyDescent="0.35">
      <c r="A12" t="s">
        <v>525</v>
      </c>
      <c r="B12" t="s">
        <v>621</v>
      </c>
      <c r="C12" s="2" cm="1">
        <f t="array" ref="C12">MIN(IF(table_s3_events!$E:$E=$A$12, table_s3_events!$H:$H))</f>
        <v>9.9999999999999995E-8</v>
      </c>
      <c r="D12" s="2" cm="1">
        <f t="array" ref="D12">MIN(IF(table_s3_events!$E:$E=$A$12, table_s3_events!$I:$I))</f>
        <v>185000</v>
      </c>
      <c r="E12" s="2" cm="1">
        <f t="array" ref="E12">MIN(IF(table_s3_events!$E:$E=$A$12, table_s3_events!$J:$J))</f>
        <v>30</v>
      </c>
    </row>
    <row r="13" spans="1:5" x14ac:dyDescent="0.35">
      <c r="A13" s="15" t="s">
        <v>525</v>
      </c>
      <c r="B13" s="15" t="s">
        <v>622</v>
      </c>
      <c r="C13" s="16" cm="1">
        <f t="array" ref="C13">COUNT(IF(table_s3_events!$E:$E=$A$13, table_s3_events!$H:$H))</f>
        <v>25</v>
      </c>
      <c r="D13" s="16" cm="1">
        <f t="array" ref="D13">COUNT(IF(table_s3_events!$E:$E=$A$13, table_s3_events!$I:$I))</f>
        <v>25</v>
      </c>
      <c r="E13" s="16" cm="1">
        <f t="array" ref="E13">COUNT(IF(table_s3_events!$E:$E=$A$13, table_s3_events!$J:$J))</f>
        <v>25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492E0-B1D4-4D01-BDC9-52F30A59C1EC}">
  <dimension ref="A1:Z108"/>
  <sheetViews>
    <sheetView tabSelected="1" zoomScale="80" zoomScaleNormal="80" workbookViewId="0">
      <pane ySplit="1" topLeftCell="A8" activePane="bottomLeft" state="frozen"/>
      <selection pane="bottomLeft" activeCell="K21" sqref="K21"/>
    </sheetView>
  </sheetViews>
  <sheetFormatPr defaultRowHeight="14.5" x14ac:dyDescent="0.35"/>
  <cols>
    <col min="1" max="1" width="49.1796875" customWidth="1"/>
    <col min="2" max="2" width="30.26953125" bestFit="1" customWidth="1"/>
    <col min="3" max="3" width="25.1796875" bestFit="1" customWidth="1"/>
    <col min="4" max="4" width="19.54296875" style="5" bestFit="1" customWidth="1"/>
    <col min="5" max="5" width="26.81640625" customWidth="1"/>
    <col min="6" max="6" width="14" bestFit="1" customWidth="1"/>
    <col min="7" max="7" width="22.7265625" customWidth="1"/>
    <col min="8" max="8" width="15.81640625" bestFit="1" customWidth="1"/>
    <col min="9" max="9" width="15" bestFit="1" customWidth="1"/>
    <col min="10" max="10" width="22.81640625" style="2" bestFit="1" customWidth="1"/>
    <col min="11" max="11" width="22.81640625" style="7" customWidth="1"/>
    <col min="12" max="12" width="15" style="7" customWidth="1"/>
    <col min="13" max="13" width="30.1796875" customWidth="1"/>
    <col min="14" max="14" width="13.26953125" customWidth="1"/>
    <col min="15" max="15" width="30" bestFit="1" customWidth="1"/>
    <col min="16" max="16" width="11.453125" bestFit="1" customWidth="1"/>
    <col min="17" max="17" width="64.453125" bestFit="1" customWidth="1"/>
    <col min="19" max="19" width="14.54296875" bestFit="1" customWidth="1"/>
    <col min="20" max="20" width="16.54296875" customWidth="1"/>
  </cols>
  <sheetData>
    <row r="1" spans="1:17" s="1" customFormat="1" x14ac:dyDescent="0.35">
      <c r="A1" s="1" t="s">
        <v>497</v>
      </c>
      <c r="B1" s="1" t="s">
        <v>498</v>
      </c>
      <c r="C1" s="1" t="s">
        <v>501</v>
      </c>
      <c r="D1" s="3" t="s">
        <v>503</v>
      </c>
      <c r="E1" s="1" t="s">
        <v>623</v>
      </c>
      <c r="F1" s="1" t="s">
        <v>624</v>
      </c>
      <c r="G1" s="1" t="s">
        <v>625</v>
      </c>
      <c r="H1" s="1" t="s">
        <v>626</v>
      </c>
      <c r="I1" s="1" t="s">
        <v>627</v>
      </c>
      <c r="J1" s="4" t="str">
        <f>_xlfn.XLOOKUP(A1, table_s3_events!A:A, table_s3_events!J:J)</f>
        <v>event_duration_est_yr</v>
      </c>
      <c r="K1" s="6" t="s">
        <v>628</v>
      </c>
      <c r="L1" s="6" t="s">
        <v>629</v>
      </c>
      <c r="M1" s="1" t="s">
        <v>630</v>
      </c>
      <c r="O1" s="1" t="s">
        <v>625</v>
      </c>
      <c r="P1" s="1" t="s">
        <v>624</v>
      </c>
      <c r="Q1" s="1" t="s">
        <v>631</v>
      </c>
    </row>
    <row r="2" spans="1:17" x14ac:dyDescent="0.35">
      <c r="A2" t="str">
        <f>_xlfn.XLOOKUP($B2, table_s3_events!$B:$B, table_s3_events!$A:$A)</f>
        <v>3100 persistent - sustainable stewardship</v>
      </c>
      <c r="B2" t="s">
        <v>509</v>
      </c>
      <c r="C2" t="str">
        <f>_xlfn.XLOOKUP($B2, table_s3_events!$B:$B, table_s3_events!$E:$E)</f>
        <v>sustainable stewardship</v>
      </c>
      <c r="D2" s="5">
        <f>_xlfn.XLOOKUP($B2, table_s3_events!$B:$B, table_s3_events!$G:$G)</f>
        <v>-1.1000000000000001E-3</v>
      </c>
      <c r="E2" t="s">
        <v>16</v>
      </c>
      <c r="F2" t="s">
        <v>632</v>
      </c>
      <c r="G2" t="s">
        <v>633</v>
      </c>
      <c r="H2" t="s">
        <v>634</v>
      </c>
      <c r="I2">
        <v>2</v>
      </c>
      <c r="J2" s="2">
        <f>_xlfn.XLOOKUP(A2, table_s3_events!A:A, table_s3_events!J:J)</f>
        <v>3300</v>
      </c>
      <c r="K2" s="7">
        <f t="shared" ref="K2:K34" si="0">IF(OR(F2="species", F2="genus"), (I2*10^4)/J2,"NA")</f>
        <v>6.0606060606060606</v>
      </c>
      <c r="L2" s="7">
        <f t="shared" ref="L2:L34" si="1">IF(H2="percent", I2/(J2/10^6), "NA")</f>
        <v>606.06060606060612</v>
      </c>
      <c r="M2" t="s">
        <v>635</v>
      </c>
      <c r="O2" t="s">
        <v>636</v>
      </c>
      <c r="P2" t="s">
        <v>637</v>
      </c>
      <c r="Q2" t="s">
        <v>638</v>
      </c>
    </row>
    <row r="3" spans="1:17" x14ac:dyDescent="0.35">
      <c r="A3" t="str">
        <f>_xlfn.XLOOKUP($B3, table_s3_events!$B:$B, table_s3_events!$A:$A)</f>
        <v>3100 persistent - sustainable stewardship</v>
      </c>
      <c r="B3" t="s">
        <v>509</v>
      </c>
      <c r="C3" t="str">
        <f>_xlfn.XLOOKUP($B3, table_s3_events!$B:$B, table_s3_events!$E:$E)</f>
        <v>sustainable stewardship</v>
      </c>
      <c r="D3" s="5">
        <f>_xlfn.XLOOKUP($B3, table_s3_events!$B:$B, table_s3_events!$G:$G)</f>
        <v>-1.1000000000000001E-3</v>
      </c>
      <c r="E3" t="s">
        <v>16</v>
      </c>
      <c r="F3" t="s">
        <v>637</v>
      </c>
      <c r="G3" t="s">
        <v>633</v>
      </c>
      <c r="H3" t="s">
        <v>634</v>
      </c>
      <c r="I3">
        <v>5</v>
      </c>
      <c r="J3" s="2">
        <f>_xlfn.XLOOKUP(A3, table_s3_events!A:A, table_s3_events!J:J)</f>
        <v>3300</v>
      </c>
      <c r="K3" s="7">
        <f t="shared" si="0"/>
        <v>15.151515151515152</v>
      </c>
      <c r="L3" s="7">
        <f t="shared" si="1"/>
        <v>1515.1515151515152</v>
      </c>
      <c r="M3" t="s">
        <v>635</v>
      </c>
      <c r="O3" t="s">
        <v>633</v>
      </c>
      <c r="P3" t="s">
        <v>632</v>
      </c>
      <c r="Q3" t="s">
        <v>639</v>
      </c>
    </row>
    <row r="4" spans="1:17" x14ac:dyDescent="0.35">
      <c r="A4" t="str">
        <f>_xlfn.XLOOKUP($B4, table_s3_events!$B:$B, table_s3_events!$A:$A)</f>
        <v>3100 transient - business as usual</v>
      </c>
      <c r="B4" t="s">
        <v>513</v>
      </c>
      <c r="C4" t="str">
        <f>_xlfn.XLOOKUP($B4, table_s3_events!$B:$B, table_s3_events!$E:$E)</f>
        <v>business as usual</v>
      </c>
      <c r="D4" s="5">
        <f>_xlfn.XLOOKUP($B4, table_s3_events!$B:$B, table_s3_events!$G:$G)</f>
        <v>-1.1000000000000001E-3</v>
      </c>
      <c r="E4" t="s">
        <v>20</v>
      </c>
      <c r="F4" t="s">
        <v>637</v>
      </c>
      <c r="G4" t="s">
        <v>633</v>
      </c>
      <c r="H4" t="s">
        <v>634</v>
      </c>
      <c r="I4">
        <v>-28</v>
      </c>
      <c r="J4" s="2">
        <f>_xlfn.XLOOKUP(A4, table_s3_events!A:A, table_s3_events!J:J)</f>
        <v>3300</v>
      </c>
      <c r="K4" s="7">
        <f t="shared" si="0"/>
        <v>-84.848484848484844</v>
      </c>
      <c r="L4" s="7">
        <f t="shared" si="1"/>
        <v>-8484.8484848484841</v>
      </c>
      <c r="M4" t="s">
        <v>640</v>
      </c>
      <c r="O4" t="s">
        <v>641</v>
      </c>
      <c r="P4" t="s">
        <v>637</v>
      </c>
      <c r="Q4" t="s">
        <v>638</v>
      </c>
    </row>
    <row r="5" spans="1:17" x14ac:dyDescent="0.35">
      <c r="A5" t="str">
        <f>_xlfn.XLOOKUP($B5, table_s3_events!$B:$B, table_s3_events!$A:$A)</f>
        <v>3100 transient - business as usual</v>
      </c>
      <c r="B5" t="s">
        <v>513</v>
      </c>
      <c r="C5" t="str">
        <f>_xlfn.XLOOKUP($B5, table_s3_events!$B:$B, table_s3_events!$E:$E)</f>
        <v>business as usual</v>
      </c>
      <c r="D5" s="5">
        <f>_xlfn.XLOOKUP($B5, table_s3_events!$B:$B, table_s3_events!$G:$G)</f>
        <v>-1.1000000000000001E-3</v>
      </c>
      <c r="E5" t="s">
        <v>16</v>
      </c>
      <c r="F5" t="s">
        <v>637</v>
      </c>
      <c r="G5" t="s">
        <v>633</v>
      </c>
      <c r="H5" t="s">
        <v>634</v>
      </c>
      <c r="I5">
        <v>-10</v>
      </c>
      <c r="J5" s="2">
        <f>_xlfn.XLOOKUP(A5, table_s3_events!A:A, table_s3_events!J:J)</f>
        <v>3300</v>
      </c>
      <c r="K5" s="7">
        <f t="shared" si="0"/>
        <v>-30.303030303030305</v>
      </c>
      <c r="L5" s="7">
        <f t="shared" si="1"/>
        <v>-3030.3030303030305</v>
      </c>
      <c r="M5" t="s">
        <v>642</v>
      </c>
      <c r="O5" t="s">
        <v>643</v>
      </c>
      <c r="P5" t="s">
        <v>632</v>
      </c>
      <c r="Q5" t="s">
        <v>639</v>
      </c>
    </row>
    <row r="6" spans="1:17" x14ac:dyDescent="0.35">
      <c r="A6" t="str">
        <f>_xlfn.XLOOKUP($B6, table_s3_events!$B:$B, table_s3_events!$A:$A)</f>
        <v>3100 transient - business as usual</v>
      </c>
      <c r="B6" t="s">
        <v>513</v>
      </c>
      <c r="C6" t="str">
        <f>_xlfn.XLOOKUP($B6, table_s3_events!$B:$B, table_s3_events!$E:$E)</f>
        <v>business as usual</v>
      </c>
      <c r="D6" s="5">
        <f>_xlfn.XLOOKUP($B6, table_s3_events!$B:$B, table_s3_events!$G:$G)</f>
        <v>-1.1000000000000001E-3</v>
      </c>
      <c r="E6" t="s">
        <v>16</v>
      </c>
      <c r="F6" t="s">
        <v>632</v>
      </c>
      <c r="G6" t="s">
        <v>633</v>
      </c>
      <c r="H6" t="s">
        <v>634</v>
      </c>
      <c r="I6">
        <v>-5</v>
      </c>
      <c r="J6" s="2">
        <f>_xlfn.XLOOKUP(A6, table_s3_events!A:A, table_s3_events!J:J)</f>
        <v>3300</v>
      </c>
      <c r="K6" s="7">
        <f t="shared" si="0"/>
        <v>-15.151515151515152</v>
      </c>
      <c r="L6" s="7">
        <f t="shared" si="1"/>
        <v>-1515.1515151515152</v>
      </c>
      <c r="M6" t="s">
        <v>644</v>
      </c>
      <c r="O6" t="s">
        <v>645</v>
      </c>
      <c r="P6" t="s">
        <v>646</v>
      </c>
      <c r="Q6" t="s">
        <v>647</v>
      </c>
    </row>
    <row r="7" spans="1:17" x14ac:dyDescent="0.35">
      <c r="A7" t="str">
        <f>_xlfn.XLOOKUP($B7, table_s3_events!$B:$B, table_s3_events!$A:$A)</f>
        <v>2100 persistent - sustainable stewardship</v>
      </c>
      <c r="B7" t="s">
        <v>516</v>
      </c>
      <c r="C7" t="str">
        <f>_xlfn.XLOOKUP($B7, table_s3_events!$B:$B, table_s3_events!$E:$E)</f>
        <v>sustainable stewardship</v>
      </c>
      <c r="D7" s="5">
        <f>_xlfn.XLOOKUP($B7, table_s3_events!$B:$B, table_s3_events!$G:$G)</f>
        <v>-1E-4</v>
      </c>
      <c r="E7" t="s">
        <v>130</v>
      </c>
      <c r="F7" t="s">
        <v>637</v>
      </c>
      <c r="G7" t="s">
        <v>633</v>
      </c>
      <c r="H7" t="s">
        <v>634</v>
      </c>
      <c r="I7">
        <v>0</v>
      </c>
      <c r="J7" s="2">
        <f>_xlfn.XLOOKUP(A7, table_s3_events!A:A, table_s3_events!J:J)</f>
        <v>300</v>
      </c>
      <c r="K7" s="7">
        <f t="shared" si="0"/>
        <v>0</v>
      </c>
      <c r="L7" s="7">
        <f t="shared" si="1"/>
        <v>0</v>
      </c>
      <c r="M7" t="s">
        <v>648</v>
      </c>
      <c r="O7" t="s">
        <v>649</v>
      </c>
      <c r="P7" t="s">
        <v>650</v>
      </c>
      <c r="Q7" t="s">
        <v>651</v>
      </c>
    </row>
    <row r="8" spans="1:17" x14ac:dyDescent="0.35">
      <c r="A8" t="str">
        <f>_xlfn.XLOOKUP($B8, table_s3_events!$B:$B, table_s3_events!$A:$A)</f>
        <v>2100 persistent - sustainable stewardship</v>
      </c>
      <c r="B8" t="s">
        <v>516</v>
      </c>
      <c r="C8" t="str">
        <f>_xlfn.XLOOKUP($B8, table_s3_events!$B:$B, table_s3_events!$E:$E)</f>
        <v>sustainable stewardship</v>
      </c>
      <c r="D8" s="5">
        <f>_xlfn.XLOOKUP($B8, table_s3_events!$B:$B, table_s3_events!$G:$G)</f>
        <v>-1E-4</v>
      </c>
      <c r="E8" t="s">
        <v>130</v>
      </c>
      <c r="F8" t="s">
        <v>632</v>
      </c>
      <c r="G8" t="s">
        <v>633</v>
      </c>
      <c r="H8" t="s">
        <v>634</v>
      </c>
      <c r="I8">
        <v>0</v>
      </c>
      <c r="J8" s="2">
        <f>_xlfn.XLOOKUP(A8, table_s3_events!A:A, table_s3_events!J:J)</f>
        <v>300</v>
      </c>
      <c r="K8" s="7">
        <f t="shared" si="0"/>
        <v>0</v>
      </c>
      <c r="L8" s="7">
        <f t="shared" si="1"/>
        <v>0</v>
      </c>
      <c r="M8" t="s">
        <v>648</v>
      </c>
      <c r="O8" t="s">
        <v>652</v>
      </c>
    </row>
    <row r="9" spans="1:17" x14ac:dyDescent="0.35">
      <c r="A9" t="str">
        <f>_xlfn.XLOOKUP($B9, table_s3_events!$B:$B, table_s3_events!$A:$A)</f>
        <v>2100 transient - business as usual</v>
      </c>
      <c r="B9" t="s">
        <v>519</v>
      </c>
      <c r="C9" t="str">
        <f>_xlfn.XLOOKUP($B9, table_s3_events!$B:$B, table_s3_events!$E:$E)</f>
        <v>business as usual</v>
      </c>
      <c r="D9" s="5">
        <f>_xlfn.XLOOKUP($B9, table_s3_events!$B:$B, table_s3_events!$G:$G)</f>
        <v>-1E-4</v>
      </c>
      <c r="E9" t="s">
        <v>653</v>
      </c>
      <c r="F9" t="s">
        <v>637</v>
      </c>
      <c r="G9" t="s">
        <v>641</v>
      </c>
      <c r="H9" t="s">
        <v>634</v>
      </c>
      <c r="I9">
        <v>-32</v>
      </c>
      <c r="J9" s="2">
        <f>_xlfn.XLOOKUP(A9, table_s3_events!A:A, table_s3_events!J:J)</f>
        <v>300</v>
      </c>
      <c r="K9" s="7">
        <f t="shared" si="0"/>
        <v>-1066.6666666666667</v>
      </c>
      <c r="L9" s="7">
        <f t="shared" si="1"/>
        <v>-106666.66666666667</v>
      </c>
      <c r="O9" t="s">
        <v>654</v>
      </c>
    </row>
    <row r="10" spans="1:17" x14ac:dyDescent="0.35">
      <c r="A10" t="str">
        <f>_xlfn.XLOOKUP($B10, table_s3_events!$B:$B, table_s3_events!$A:$A)</f>
        <v>2100 transient - business as usual</v>
      </c>
      <c r="B10" t="s">
        <v>519</v>
      </c>
      <c r="C10" t="str">
        <f>_xlfn.XLOOKUP($B10, table_s3_events!$B:$B, table_s3_events!$E:$E)</f>
        <v>business as usual</v>
      </c>
      <c r="D10" s="5">
        <f>_xlfn.XLOOKUP($B10, table_s3_events!$B:$B, table_s3_events!$G:$G)</f>
        <v>-1E-4</v>
      </c>
      <c r="E10" t="s">
        <v>206</v>
      </c>
      <c r="F10" t="s">
        <v>637</v>
      </c>
      <c r="G10" t="s">
        <v>652</v>
      </c>
      <c r="H10" t="s">
        <v>634</v>
      </c>
      <c r="I10">
        <v>-27</v>
      </c>
      <c r="J10" s="2">
        <f>_xlfn.XLOOKUP(A10, table_s3_events!A:A, table_s3_events!J:J)</f>
        <v>300</v>
      </c>
      <c r="K10" s="7">
        <f t="shared" si="0"/>
        <v>-900</v>
      </c>
      <c r="L10" s="7">
        <f t="shared" si="1"/>
        <v>-90000.000000000015</v>
      </c>
      <c r="M10" t="s">
        <v>655</v>
      </c>
      <c r="O10" t="s">
        <v>656</v>
      </c>
    </row>
    <row r="11" spans="1:17" x14ac:dyDescent="0.35">
      <c r="A11" t="str">
        <f>_xlfn.XLOOKUP($B11, table_s3_events!$B:$B, table_s3_events!$A:$A)</f>
        <v>2100 transient - business as usual</v>
      </c>
      <c r="B11" t="s">
        <v>519</v>
      </c>
      <c r="C11" t="str">
        <f>_xlfn.XLOOKUP($B11, table_s3_events!$B:$B, table_s3_events!$E:$E)</f>
        <v>business as usual</v>
      </c>
      <c r="D11" s="5">
        <f>_xlfn.XLOOKUP($B11, table_s3_events!$B:$B, table_s3_events!$G:$G)</f>
        <v>-1E-4</v>
      </c>
      <c r="E11" t="s">
        <v>206</v>
      </c>
      <c r="F11" t="s">
        <v>637</v>
      </c>
      <c r="G11" t="s">
        <v>652</v>
      </c>
      <c r="H11" t="s">
        <v>634</v>
      </c>
      <c r="I11">
        <v>-17.600000000000001</v>
      </c>
      <c r="J11" s="2">
        <f>_xlfn.XLOOKUP(A11, table_s3_events!A:A, table_s3_events!J:J)</f>
        <v>300</v>
      </c>
      <c r="K11" s="7">
        <f t="shared" si="0"/>
        <v>-586.66666666666663</v>
      </c>
      <c r="L11" s="7">
        <f t="shared" si="1"/>
        <v>-58666.666666666679</v>
      </c>
      <c r="M11" t="s">
        <v>657</v>
      </c>
      <c r="O11" t="s">
        <v>658</v>
      </c>
    </row>
    <row r="12" spans="1:17" x14ac:dyDescent="0.35">
      <c r="A12" t="str">
        <f>_xlfn.XLOOKUP($B12, table_s3_events!$B:$B, table_s3_events!$A:$A)</f>
        <v>2100 transient - business as usual</v>
      </c>
      <c r="B12" t="s">
        <v>519</v>
      </c>
      <c r="C12" t="str">
        <f>_xlfn.XLOOKUP($B12, table_s3_events!$B:$B, table_s3_events!$E:$E)</f>
        <v>business as usual</v>
      </c>
      <c r="D12" s="5">
        <f>_xlfn.XLOOKUP($B12, table_s3_events!$B:$B, table_s3_events!$G:$G)</f>
        <v>-1E-4</v>
      </c>
      <c r="E12" t="s">
        <v>653</v>
      </c>
      <c r="F12" t="s">
        <v>637</v>
      </c>
      <c r="G12" t="s">
        <v>641</v>
      </c>
      <c r="H12" t="s">
        <v>634</v>
      </c>
      <c r="I12">
        <v>-14</v>
      </c>
      <c r="J12" s="2">
        <f>_xlfn.XLOOKUP(A12, table_s3_events!A:A, table_s3_events!J:J)</f>
        <v>300</v>
      </c>
      <c r="K12" s="7">
        <f t="shared" si="0"/>
        <v>-466.66666666666669</v>
      </c>
      <c r="L12" s="7">
        <f t="shared" si="1"/>
        <v>-46666.666666666672</v>
      </c>
      <c r="O12" t="s">
        <v>659</v>
      </c>
    </row>
    <row r="13" spans="1:17" x14ac:dyDescent="0.35">
      <c r="A13" t="str">
        <f>_xlfn.XLOOKUP($B13, table_s3_events!$B:$B, table_s3_events!$A:$A)</f>
        <v>2100 transient - business as usual</v>
      </c>
      <c r="B13" t="s">
        <v>519</v>
      </c>
      <c r="C13" t="str">
        <f>_xlfn.XLOOKUP($B13, table_s3_events!$B:$B, table_s3_events!$E:$E)</f>
        <v>business as usual</v>
      </c>
      <c r="D13" s="5">
        <f>_xlfn.XLOOKUP($B13, table_s3_events!$B:$B, table_s3_events!$G:$G)</f>
        <v>-1E-4</v>
      </c>
      <c r="E13" t="s">
        <v>206</v>
      </c>
      <c r="F13" t="s">
        <v>637</v>
      </c>
      <c r="G13" t="s">
        <v>652</v>
      </c>
      <c r="H13" t="s">
        <v>634</v>
      </c>
      <c r="I13">
        <v>-13</v>
      </c>
      <c r="J13" s="2">
        <f>_xlfn.XLOOKUP(A13, table_s3_events!A:A, table_s3_events!J:J)</f>
        <v>300</v>
      </c>
      <c r="K13" s="7">
        <f t="shared" si="0"/>
        <v>-433.33333333333331</v>
      </c>
      <c r="L13" s="7">
        <f t="shared" si="1"/>
        <v>-43333.333333333336</v>
      </c>
      <c r="M13" t="s">
        <v>660</v>
      </c>
      <c r="O13" t="s">
        <v>661</v>
      </c>
    </row>
    <row r="14" spans="1:17" x14ac:dyDescent="0.35">
      <c r="A14" t="str">
        <f>_xlfn.XLOOKUP($B14, table_s3_events!$B:$B, table_s3_events!$A:$A)</f>
        <v>2100 transient - business as usual</v>
      </c>
      <c r="B14" t="s">
        <v>519</v>
      </c>
      <c r="C14" t="str">
        <f>_xlfn.XLOOKUP($B14, table_s3_events!$B:$B, table_s3_events!$E:$E)</f>
        <v>business as usual</v>
      </c>
      <c r="D14" s="5">
        <f>_xlfn.XLOOKUP($B14, table_s3_events!$B:$B, table_s3_events!$G:$G)</f>
        <v>-1E-4</v>
      </c>
      <c r="E14" t="s">
        <v>56</v>
      </c>
      <c r="F14" t="s">
        <v>632</v>
      </c>
      <c r="G14" t="s">
        <v>654</v>
      </c>
      <c r="H14" t="s">
        <v>634</v>
      </c>
      <c r="I14">
        <v>-7.8</v>
      </c>
      <c r="J14" s="2">
        <f>_xlfn.XLOOKUP(A14, table_s3_events!A:A, table_s3_events!J:J)</f>
        <v>300</v>
      </c>
      <c r="K14" s="7">
        <f t="shared" si="0"/>
        <v>-260</v>
      </c>
      <c r="L14" s="7">
        <f t="shared" si="1"/>
        <v>-26000</v>
      </c>
      <c r="M14" t="s">
        <v>662</v>
      </c>
      <c r="O14" t="s">
        <v>663</v>
      </c>
    </row>
    <row r="15" spans="1:17" x14ac:dyDescent="0.35">
      <c r="A15" t="str">
        <f>_xlfn.XLOOKUP($B15, table_s3_events!$B:$B, table_s3_events!$A:$A)</f>
        <v>2100 transient - business as usual</v>
      </c>
      <c r="B15" t="s">
        <v>519</v>
      </c>
      <c r="C15" t="str">
        <f>_xlfn.XLOOKUP($B15, table_s3_events!$B:$B, table_s3_events!$E:$E)</f>
        <v>business as usual</v>
      </c>
      <c r="D15" s="5">
        <f>_xlfn.XLOOKUP($B15, table_s3_events!$B:$B, table_s3_events!$G:$G)</f>
        <v>-1E-4</v>
      </c>
      <c r="E15" t="s">
        <v>130</v>
      </c>
      <c r="F15" t="s">
        <v>637</v>
      </c>
      <c r="G15" t="s">
        <v>633</v>
      </c>
      <c r="H15" t="s">
        <v>634</v>
      </c>
      <c r="I15">
        <v>-3.8</v>
      </c>
      <c r="J15" s="2">
        <f>_xlfn.XLOOKUP(A15, table_s3_events!A:A, table_s3_events!J:J)</f>
        <v>300</v>
      </c>
      <c r="K15" s="7">
        <f t="shared" si="0"/>
        <v>-126.66666666666667</v>
      </c>
      <c r="L15" s="7">
        <f t="shared" si="1"/>
        <v>-12666.666666666668</v>
      </c>
      <c r="M15" t="s">
        <v>664</v>
      </c>
      <c r="O15" t="s">
        <v>665</v>
      </c>
    </row>
    <row r="16" spans="1:17" x14ac:dyDescent="0.35">
      <c r="A16" t="str">
        <f>_xlfn.XLOOKUP($B16, table_s3_events!$B:$B, table_s3_events!$A:$A)</f>
        <v>Recent past</v>
      </c>
      <c r="B16" t="s">
        <v>521</v>
      </c>
      <c r="C16" t="str">
        <f>_xlfn.XLOOKUP($B16, table_s3_events!$B:$B, table_s3_events!$E:$E)</f>
        <v>humans so far</v>
      </c>
      <c r="D16" s="5">
        <f>_xlfn.XLOOKUP($B16, table_s3_events!$B:$B, table_s3_events!$G:$G)</f>
        <v>0</v>
      </c>
      <c r="E16" t="s">
        <v>24</v>
      </c>
      <c r="F16" t="s">
        <v>646</v>
      </c>
      <c r="G16" t="s">
        <v>659</v>
      </c>
      <c r="H16" t="s">
        <v>634</v>
      </c>
      <c r="I16">
        <v>-83</v>
      </c>
      <c r="J16" s="2">
        <f>_xlfn.XLOOKUP(A16, table_s3_events!A:A, table_s3_events!J:J)</f>
        <v>200</v>
      </c>
      <c r="K16" s="7" t="str">
        <f t="shared" si="0"/>
        <v>NA</v>
      </c>
      <c r="L16" s="7">
        <f t="shared" si="1"/>
        <v>-415000</v>
      </c>
      <c r="M16" t="s">
        <v>666</v>
      </c>
      <c r="O16" t="s">
        <v>667</v>
      </c>
    </row>
    <row r="17" spans="1:15" x14ac:dyDescent="0.35">
      <c r="A17" t="str">
        <f>_xlfn.XLOOKUP($B17, table_s3_events!$B:$B, table_s3_events!$A:$A)</f>
        <v>Recent past</v>
      </c>
      <c r="B17" t="s">
        <v>521</v>
      </c>
      <c r="C17" t="str">
        <f>_xlfn.XLOOKUP($B17, table_s3_events!$B:$B, table_s3_events!$E:$E)</f>
        <v>humans so far</v>
      </c>
      <c r="D17" s="5">
        <f>_xlfn.XLOOKUP($B17, table_s3_events!$B:$B, table_s3_events!$G:$G)</f>
        <v>0</v>
      </c>
      <c r="E17" t="s">
        <v>24</v>
      </c>
      <c r="F17" t="s">
        <v>637</v>
      </c>
      <c r="G17" t="s">
        <v>668</v>
      </c>
      <c r="H17" t="s">
        <v>634</v>
      </c>
      <c r="I17">
        <v>-50</v>
      </c>
      <c r="J17" s="2">
        <f>_xlfn.XLOOKUP(A17, table_s3_events!A:A, table_s3_events!J:J)</f>
        <v>200</v>
      </c>
      <c r="K17" s="7">
        <f t="shared" si="0"/>
        <v>-2500</v>
      </c>
      <c r="L17" s="7">
        <f t="shared" si="1"/>
        <v>-250000</v>
      </c>
      <c r="O17" t="s">
        <v>669</v>
      </c>
    </row>
    <row r="18" spans="1:15" x14ac:dyDescent="0.35">
      <c r="A18" t="str">
        <f>_xlfn.XLOOKUP($B18, table_s3_events!$B:$B, table_s3_events!$A:$A)</f>
        <v>Recent past</v>
      </c>
      <c r="B18" t="s">
        <v>521</v>
      </c>
      <c r="C18" t="str">
        <f>_xlfn.XLOOKUP($B18, table_s3_events!$B:$B, table_s3_events!$E:$E)</f>
        <v>humans so far</v>
      </c>
      <c r="D18" s="5">
        <f>_xlfn.XLOOKUP($B18, table_s3_events!$B:$B, table_s3_events!$G:$G)</f>
        <v>0</v>
      </c>
      <c r="E18" t="s">
        <v>166</v>
      </c>
      <c r="F18" t="s">
        <v>650</v>
      </c>
      <c r="G18" t="s">
        <v>663</v>
      </c>
      <c r="H18" t="s">
        <v>634</v>
      </c>
      <c r="I18">
        <v>-30</v>
      </c>
      <c r="J18" s="2">
        <f>_xlfn.XLOOKUP(A18, table_s3_events!A:A, table_s3_events!J:J)</f>
        <v>200</v>
      </c>
      <c r="K18" s="7" t="str">
        <f t="shared" si="0"/>
        <v>NA</v>
      </c>
      <c r="L18" s="7">
        <f t="shared" si="1"/>
        <v>-150000</v>
      </c>
      <c r="M18" t="s">
        <v>670</v>
      </c>
      <c r="O18" t="s">
        <v>671</v>
      </c>
    </row>
    <row r="19" spans="1:15" x14ac:dyDescent="0.35">
      <c r="A19" t="str">
        <f>_xlfn.XLOOKUP($B19, table_s3_events!$B:$B, table_s3_events!$A:$A)</f>
        <v>Recent past</v>
      </c>
      <c r="B19" t="s">
        <v>521</v>
      </c>
      <c r="C19" t="str">
        <f>_xlfn.XLOOKUP($B19, table_s3_events!$B:$B, table_s3_events!$E:$E)</f>
        <v>humans so far</v>
      </c>
      <c r="D19" s="5">
        <f>_xlfn.XLOOKUP($B19, table_s3_events!$B:$B, table_s3_events!$G:$G)</f>
        <v>0</v>
      </c>
      <c r="E19" t="s">
        <v>707</v>
      </c>
      <c r="F19" t="s">
        <v>646</v>
      </c>
      <c r="G19" t="s">
        <v>708</v>
      </c>
      <c r="H19" t="s">
        <v>634</v>
      </c>
      <c r="I19">
        <v>-60</v>
      </c>
      <c r="J19" s="2">
        <f>_xlfn.XLOOKUP(A19, table_s3_events!A:A, table_s3_events!J:J)</f>
        <v>200</v>
      </c>
      <c r="K19" s="7" t="str">
        <f t="shared" ref="K19" si="2">IF(OR(F19="species", F19="genus"), (I19*10^4)/J19,"NA")</f>
        <v>NA</v>
      </c>
      <c r="L19" s="7">
        <f t="shared" ref="L19" si="3">IF(H19="percent", I19/(J19/10^6), "NA")</f>
        <v>-300000</v>
      </c>
      <c r="M19" t="s">
        <v>709</v>
      </c>
      <c r="O19" t="s">
        <v>708</v>
      </c>
    </row>
    <row r="20" spans="1:15" x14ac:dyDescent="0.35">
      <c r="A20" t="str">
        <f>_xlfn.XLOOKUP($B20, table_s3_events!$B:$B, table_s3_events!$A:$A)</f>
        <v>Recent past</v>
      </c>
      <c r="B20" t="s">
        <v>521</v>
      </c>
      <c r="C20" t="str">
        <f>_xlfn.XLOOKUP($B20, table_s3_events!$B:$B, table_s3_events!$E:$E)</f>
        <v>humans so far</v>
      </c>
      <c r="D20" s="5">
        <f>_xlfn.XLOOKUP($B20, table_s3_events!$B:$B, table_s3_events!$G:$G)</f>
        <v>0</v>
      </c>
      <c r="E20" t="s">
        <v>220</v>
      </c>
      <c r="F20" t="s">
        <v>632</v>
      </c>
      <c r="G20" t="s">
        <v>659</v>
      </c>
      <c r="H20" t="s">
        <v>634</v>
      </c>
      <c r="I20">
        <v>-1.61</v>
      </c>
      <c r="J20" s="2">
        <f>_xlfn.XLOOKUP(A20, table_s3_events!A:A, table_s3_events!J:J)</f>
        <v>200</v>
      </c>
      <c r="K20" s="7">
        <f t="shared" si="0"/>
        <v>-80.500000000000014</v>
      </c>
      <c r="L20" s="7">
        <f t="shared" si="1"/>
        <v>-8050</v>
      </c>
      <c r="M20" t="s">
        <v>672</v>
      </c>
      <c r="O20" t="s">
        <v>668</v>
      </c>
    </row>
    <row r="21" spans="1:15" x14ac:dyDescent="0.35">
      <c r="A21" t="str">
        <f>_xlfn.XLOOKUP($B21, table_s3_events!$B:$B, table_s3_events!$A:$A)</f>
        <v>Recent past</v>
      </c>
      <c r="B21" t="s">
        <v>521</v>
      </c>
      <c r="C21" t="str">
        <f>_xlfn.XLOOKUP($B21, table_s3_events!$B:$B, table_s3_events!$E:$E)</f>
        <v>humans so far</v>
      </c>
      <c r="D21" s="5">
        <f>_xlfn.XLOOKUP($B21, table_s3_events!$B:$B, table_s3_events!$G:$G)</f>
        <v>0</v>
      </c>
      <c r="E21" t="s">
        <v>220</v>
      </c>
      <c r="F21" t="s">
        <v>632</v>
      </c>
      <c r="G21" t="s">
        <v>669</v>
      </c>
      <c r="H21" t="s">
        <v>634</v>
      </c>
      <c r="I21">
        <v>-1.54</v>
      </c>
      <c r="J21" s="2">
        <f>_xlfn.XLOOKUP(A21, table_s3_events!A:A, table_s3_events!J:J)</f>
        <v>200</v>
      </c>
      <c r="K21" s="7">
        <f t="shared" si="0"/>
        <v>-77</v>
      </c>
      <c r="L21" s="7">
        <f t="shared" si="1"/>
        <v>-7700</v>
      </c>
      <c r="M21" t="s">
        <v>672</v>
      </c>
      <c r="O21" t="s">
        <v>673</v>
      </c>
    </row>
    <row r="22" spans="1:15" x14ac:dyDescent="0.35">
      <c r="A22" t="str">
        <f>_xlfn.XLOOKUP($B22, table_s3_events!$B:$B, table_s3_events!$A:$A)</f>
        <v>Recent past</v>
      </c>
      <c r="B22" t="s">
        <v>521</v>
      </c>
      <c r="C22" t="str">
        <f>_xlfn.XLOOKUP($B22, table_s3_events!$B:$B, table_s3_events!$E:$E)</f>
        <v>humans so far</v>
      </c>
      <c r="D22" s="5">
        <f>_xlfn.XLOOKUP($B22, table_s3_events!$B:$B, table_s3_events!$G:$G)</f>
        <v>0</v>
      </c>
      <c r="E22" t="s">
        <v>220</v>
      </c>
      <c r="F22" t="s">
        <v>632</v>
      </c>
      <c r="G22" t="s">
        <v>633</v>
      </c>
      <c r="H22" t="s">
        <v>634</v>
      </c>
      <c r="I22">
        <v>-0.88</v>
      </c>
      <c r="J22" s="2">
        <f>_xlfn.XLOOKUP(A22, table_s3_events!A:A, table_s3_events!J:J)</f>
        <v>200</v>
      </c>
      <c r="K22" s="7">
        <f t="shared" si="0"/>
        <v>-44</v>
      </c>
      <c r="L22" s="7">
        <f t="shared" si="1"/>
        <v>-4400</v>
      </c>
      <c r="M22" t="s">
        <v>674</v>
      </c>
      <c r="O22" t="s">
        <v>675</v>
      </c>
    </row>
    <row r="23" spans="1:15" x14ac:dyDescent="0.35">
      <c r="A23" t="str">
        <f>_xlfn.XLOOKUP($B23, table_s3_events!$B:$B, table_s3_events!$A:$A)</f>
        <v>Recent past</v>
      </c>
      <c r="B23" t="s">
        <v>521</v>
      </c>
      <c r="C23" t="str">
        <f>_xlfn.XLOOKUP($B23, table_s3_events!$B:$B, table_s3_events!$E:$E)</f>
        <v>humans so far</v>
      </c>
      <c r="D23" s="5">
        <f>_xlfn.XLOOKUP($B23, table_s3_events!$B:$B, table_s3_events!$G:$G)</f>
        <v>0</v>
      </c>
      <c r="E23" t="s">
        <v>220</v>
      </c>
      <c r="F23" t="s">
        <v>632</v>
      </c>
      <c r="G23" t="s">
        <v>667</v>
      </c>
      <c r="H23" t="s">
        <v>634</v>
      </c>
      <c r="I23">
        <v>-0.57999999999999996</v>
      </c>
      <c r="J23" s="2">
        <f>_xlfn.XLOOKUP(A23, table_s3_events!A:A, table_s3_events!J:J)</f>
        <v>200</v>
      </c>
      <c r="K23" s="7">
        <f t="shared" si="0"/>
        <v>-29</v>
      </c>
      <c r="L23" s="7">
        <f t="shared" si="1"/>
        <v>-2899.9999999999995</v>
      </c>
      <c r="M23" t="s">
        <v>676</v>
      </c>
      <c r="O23" t="s">
        <v>677</v>
      </c>
    </row>
    <row r="24" spans="1:15" x14ac:dyDescent="0.35">
      <c r="A24" t="str">
        <f>_xlfn.XLOOKUP($B24, table_s3_events!$B:$B, table_s3_events!$A:$A)</f>
        <v>Recent past</v>
      </c>
      <c r="B24" t="s">
        <v>521</v>
      </c>
      <c r="C24" t="str">
        <f>_xlfn.XLOOKUP($B24, table_s3_events!$B:$B, table_s3_events!$E:$E)</f>
        <v>humans so far</v>
      </c>
      <c r="D24" s="5">
        <f>_xlfn.XLOOKUP($B24, table_s3_events!$B:$B, table_s3_events!$G:$G)</f>
        <v>0</v>
      </c>
      <c r="E24" t="s">
        <v>186</v>
      </c>
      <c r="F24" t="s">
        <v>637</v>
      </c>
      <c r="G24" t="s">
        <v>633</v>
      </c>
      <c r="H24" t="s">
        <v>634</v>
      </c>
      <c r="I24">
        <v>-0.5</v>
      </c>
      <c r="J24" s="2">
        <f>_xlfn.XLOOKUP(A24, table_s3_events!A:A, table_s3_events!J:J)</f>
        <v>200</v>
      </c>
      <c r="K24" s="7">
        <f t="shared" si="0"/>
        <v>-25</v>
      </c>
      <c r="L24" s="7">
        <f t="shared" si="1"/>
        <v>-2500</v>
      </c>
      <c r="O24" t="s">
        <v>678</v>
      </c>
    </row>
    <row r="25" spans="1:15" x14ac:dyDescent="0.35">
      <c r="A25" t="str">
        <f>_xlfn.XLOOKUP($B25, table_s3_events!$B:$B, table_s3_events!$A:$A)</f>
        <v>Recent past</v>
      </c>
      <c r="B25" t="s">
        <v>521</v>
      </c>
      <c r="C25" t="str">
        <f>_xlfn.XLOOKUP($B25, table_s3_events!$B:$B, table_s3_events!$E:$E)</f>
        <v>humans so far</v>
      </c>
      <c r="D25" s="5">
        <f>_xlfn.XLOOKUP($B25, table_s3_events!$B:$B, table_s3_events!$G:$G)</f>
        <v>0</v>
      </c>
      <c r="E25" t="s">
        <v>220</v>
      </c>
      <c r="F25" t="s">
        <v>632</v>
      </c>
      <c r="G25" t="s">
        <v>633</v>
      </c>
      <c r="H25" t="s">
        <v>634</v>
      </c>
      <c r="I25">
        <v>-0.45</v>
      </c>
      <c r="J25" s="2">
        <f>_xlfn.XLOOKUP(A25, table_s3_events!A:A, table_s3_events!J:J)</f>
        <v>200</v>
      </c>
      <c r="K25" s="7">
        <f t="shared" si="0"/>
        <v>-22.5</v>
      </c>
      <c r="L25" s="7">
        <f t="shared" si="1"/>
        <v>-2250</v>
      </c>
      <c r="M25" t="s">
        <v>679</v>
      </c>
    </row>
    <row r="26" spans="1:15" x14ac:dyDescent="0.35">
      <c r="A26" t="str">
        <f>_xlfn.XLOOKUP($B26, table_s3_events!$B:$B, table_s3_events!$A:$A)</f>
        <v>Recent past</v>
      </c>
      <c r="B26" t="s">
        <v>521</v>
      </c>
      <c r="C26" t="str">
        <f>_xlfn.XLOOKUP($B26, table_s3_events!$B:$B, table_s3_events!$E:$E)</f>
        <v>humans so far</v>
      </c>
      <c r="D26" s="5">
        <f>_xlfn.XLOOKUP($B26, table_s3_events!$B:$B, table_s3_events!$G:$G)</f>
        <v>0</v>
      </c>
      <c r="E26" t="s">
        <v>220</v>
      </c>
      <c r="F26" t="s">
        <v>632</v>
      </c>
      <c r="G26" t="s">
        <v>665</v>
      </c>
      <c r="H26" t="s">
        <v>634</v>
      </c>
      <c r="I26">
        <v>-0.17</v>
      </c>
      <c r="J26" s="2">
        <f>_xlfn.XLOOKUP(A26, table_s3_events!A:A, table_s3_events!J:J)</f>
        <v>200</v>
      </c>
      <c r="K26" s="7">
        <f t="shared" si="0"/>
        <v>-8.5000000000000018</v>
      </c>
      <c r="L26" s="7">
        <f t="shared" si="1"/>
        <v>-850</v>
      </c>
      <c r="M26" t="s">
        <v>680</v>
      </c>
    </row>
    <row r="27" spans="1:15" x14ac:dyDescent="0.35">
      <c r="A27" t="str">
        <f>_xlfn.XLOOKUP($B27, table_s3_events!$B:$B, table_s3_events!$A:$A)</f>
        <v>Recent past</v>
      </c>
      <c r="B27" t="s">
        <v>521</v>
      </c>
      <c r="C27" t="str">
        <f>_xlfn.XLOOKUP($B27, table_s3_events!$B:$B, table_s3_events!$E:$E)</f>
        <v>humans so far</v>
      </c>
      <c r="D27" s="5">
        <f>_xlfn.XLOOKUP($B27, table_s3_events!$B:$B, table_s3_events!$G:$G)</f>
        <v>0</v>
      </c>
      <c r="E27" t="s">
        <v>186</v>
      </c>
      <c r="F27" t="s">
        <v>637</v>
      </c>
      <c r="G27" t="s">
        <v>633</v>
      </c>
      <c r="H27" t="s">
        <v>634</v>
      </c>
      <c r="I27">
        <v>-0.01</v>
      </c>
      <c r="J27" s="2">
        <f>_xlfn.XLOOKUP(A27, table_s3_events!A:A, table_s3_events!J:J)</f>
        <v>200</v>
      </c>
      <c r="K27" s="7">
        <f t="shared" si="0"/>
        <v>-0.5</v>
      </c>
      <c r="L27" s="7">
        <f t="shared" si="1"/>
        <v>-50</v>
      </c>
    </row>
    <row r="28" spans="1:15" x14ac:dyDescent="0.35">
      <c r="A28" t="str">
        <f>_xlfn.XLOOKUP($B28, table_s3_events!$B:$B, table_s3_events!$A:$A)</f>
        <v>Recent past</v>
      </c>
      <c r="B28" t="s">
        <v>521</v>
      </c>
      <c r="C28" t="str">
        <f>_xlfn.XLOOKUP($B28, table_s3_events!$B:$B, table_s3_events!$E:$E)</f>
        <v>humans so far</v>
      </c>
      <c r="D28" s="5">
        <f>_xlfn.XLOOKUP($B28, table_s3_events!$B:$B, table_s3_events!$G:$G)</f>
        <v>0</v>
      </c>
      <c r="E28" t="s">
        <v>56</v>
      </c>
      <c r="F28" t="s">
        <v>632</v>
      </c>
      <c r="G28" t="s">
        <v>678</v>
      </c>
      <c r="H28" t="s">
        <v>634</v>
      </c>
      <c r="I28">
        <v>-1</v>
      </c>
      <c r="J28" s="2">
        <f>_xlfn.XLOOKUP(A28, table_s3_events!A:A, table_s3_events!J:J)</f>
        <v>200</v>
      </c>
      <c r="K28" s="7">
        <f t="shared" si="0"/>
        <v>-50</v>
      </c>
      <c r="L28" s="7">
        <f t="shared" si="1"/>
        <v>-5000</v>
      </c>
      <c r="M28" t="s">
        <v>681</v>
      </c>
    </row>
    <row r="29" spans="1:15" x14ac:dyDescent="0.35">
      <c r="A29" t="str">
        <f>_xlfn.XLOOKUP($B29, table_s3_events!$B:$B, table_s3_events!$A:$A)</f>
        <v>Pliocene-Pleistocene transition</v>
      </c>
      <c r="B29" t="s">
        <v>524</v>
      </c>
      <c r="C29" t="str">
        <f>_xlfn.XLOOKUP($B29, table_s3_events!$B:$B, table_s3_events!$E:$E)</f>
        <v>transient</v>
      </c>
      <c r="D29" s="5">
        <f>_xlfn.XLOOKUP($B29, table_s3_events!$B:$B, table_s3_events!$G:$G)</f>
        <v>2.6</v>
      </c>
      <c r="E29" t="s">
        <v>98</v>
      </c>
      <c r="F29" t="s">
        <v>632</v>
      </c>
      <c r="G29" t="s">
        <v>643</v>
      </c>
      <c r="H29" t="s">
        <v>634</v>
      </c>
      <c r="I29">
        <v>-0.5</v>
      </c>
      <c r="J29" s="2">
        <f>_xlfn.XLOOKUP(A29, table_s3_events!A:A, table_s3_events!J:J)</f>
        <v>500000</v>
      </c>
      <c r="K29" s="7">
        <f t="shared" si="0"/>
        <v>-0.01</v>
      </c>
      <c r="L29" s="7">
        <f t="shared" si="1"/>
        <v>-1</v>
      </c>
      <c r="M29" t="s">
        <v>682</v>
      </c>
    </row>
    <row r="30" spans="1:15" x14ac:dyDescent="0.35">
      <c r="A30" t="str">
        <f>_xlfn.XLOOKUP($B30, table_s3_events!$B:$B, table_s3_events!$A:$A)</f>
        <v>Pliocene-Pleistocene transition</v>
      </c>
      <c r="B30" t="s">
        <v>524</v>
      </c>
      <c r="C30" t="str">
        <f>_xlfn.XLOOKUP($B30, table_s3_events!$B:$B, table_s3_events!$E:$E)</f>
        <v>transient</v>
      </c>
      <c r="D30" s="5">
        <f>_xlfn.XLOOKUP($B30, table_s3_events!$B:$B, table_s3_events!$G:$G)</f>
        <v>2.6</v>
      </c>
      <c r="E30" t="s">
        <v>98</v>
      </c>
      <c r="F30" t="s">
        <v>632</v>
      </c>
      <c r="G30" t="s">
        <v>643</v>
      </c>
      <c r="H30" t="s">
        <v>634</v>
      </c>
      <c r="I30">
        <v>-11</v>
      </c>
      <c r="J30" s="2">
        <f>_xlfn.XLOOKUP(A30, table_s3_events!A:A, table_s3_events!J:J)</f>
        <v>500000</v>
      </c>
      <c r="K30" s="7">
        <f t="shared" si="0"/>
        <v>-0.22</v>
      </c>
      <c r="L30" s="7">
        <f t="shared" si="1"/>
        <v>-22</v>
      </c>
      <c r="M30" t="s">
        <v>683</v>
      </c>
    </row>
    <row r="31" spans="1:15" x14ac:dyDescent="0.35">
      <c r="A31" t="str">
        <f>_xlfn.XLOOKUP($B31, table_s3_events!$B:$B, table_s3_events!$A:$A)</f>
        <v>Pliocene-Pleistocene transition</v>
      </c>
      <c r="B31" t="s">
        <v>524</v>
      </c>
      <c r="C31" t="str">
        <f>_xlfn.XLOOKUP($B31, table_s3_events!$B:$B, table_s3_events!$E:$E)</f>
        <v>transient</v>
      </c>
      <c r="D31" s="5">
        <f>_xlfn.XLOOKUP($B31, table_s3_events!$B:$B, table_s3_events!$G:$G)</f>
        <v>2.6</v>
      </c>
      <c r="E31" t="s">
        <v>98</v>
      </c>
      <c r="F31" t="s">
        <v>632</v>
      </c>
      <c r="G31" t="s">
        <v>673</v>
      </c>
      <c r="H31" t="s">
        <v>634</v>
      </c>
      <c r="I31">
        <v>-36</v>
      </c>
      <c r="J31" s="2">
        <f>_xlfn.XLOOKUP(A31, table_s3_events!A:A, table_s3_events!J:J)</f>
        <v>500000</v>
      </c>
      <c r="K31" s="7">
        <f t="shared" si="0"/>
        <v>-0.72</v>
      </c>
      <c r="L31" s="7">
        <f t="shared" si="1"/>
        <v>-72</v>
      </c>
      <c r="M31" t="s">
        <v>684</v>
      </c>
    </row>
    <row r="32" spans="1:15" x14ac:dyDescent="0.35">
      <c r="A32" t="str">
        <f>_xlfn.XLOOKUP($B32, table_s3_events!$B:$B, table_s3_events!$A:$A)</f>
        <v>Pliocene-Pleistocene transition</v>
      </c>
      <c r="B32" t="s">
        <v>524</v>
      </c>
      <c r="C32" t="str">
        <f>_xlfn.XLOOKUP($B32, table_s3_events!$B:$B, table_s3_events!$E:$E)</f>
        <v>transient</v>
      </c>
      <c r="D32" s="5">
        <f>_xlfn.XLOOKUP($B32, table_s3_events!$B:$B, table_s3_events!$G:$G)</f>
        <v>2.6</v>
      </c>
      <c r="E32" t="s">
        <v>98</v>
      </c>
      <c r="F32" t="s">
        <v>637</v>
      </c>
      <c r="G32" t="s">
        <v>675</v>
      </c>
      <c r="H32" t="s">
        <v>634</v>
      </c>
      <c r="I32">
        <v>-49</v>
      </c>
      <c r="J32" s="2">
        <f>_xlfn.XLOOKUP(A32, table_s3_events!A:A, table_s3_events!J:J)</f>
        <v>500000</v>
      </c>
      <c r="K32" s="7">
        <f t="shared" si="0"/>
        <v>-0.98</v>
      </c>
      <c r="L32" s="7">
        <f t="shared" si="1"/>
        <v>-98</v>
      </c>
      <c r="M32" t="s">
        <v>685</v>
      </c>
    </row>
    <row r="33" spans="1:13" x14ac:dyDescent="0.35">
      <c r="A33" t="str">
        <f>_xlfn.XLOOKUP($B33, table_s3_events!$B:$B, table_s3_events!$A:$A)</f>
        <v>Pliocene-Pleistocene transition</v>
      </c>
      <c r="B33" t="s">
        <v>524</v>
      </c>
      <c r="C33" t="str">
        <f>_xlfn.XLOOKUP($B33, table_s3_events!$B:$B, table_s3_events!$E:$E)</f>
        <v>transient</v>
      </c>
      <c r="D33" s="5">
        <f>_xlfn.XLOOKUP($B33, table_s3_events!$B:$B, table_s3_events!$G:$G)</f>
        <v>2.6</v>
      </c>
      <c r="E33" t="s">
        <v>98</v>
      </c>
      <c r="F33" t="s">
        <v>637</v>
      </c>
      <c r="G33" t="s">
        <v>677</v>
      </c>
      <c r="H33" t="s">
        <v>634</v>
      </c>
      <c r="I33">
        <v>-42</v>
      </c>
      <c r="J33" s="2">
        <f>_xlfn.XLOOKUP(A33, table_s3_events!A:A, table_s3_events!J:J)</f>
        <v>500000</v>
      </c>
      <c r="K33" s="7">
        <f t="shared" si="0"/>
        <v>-0.84</v>
      </c>
      <c r="L33" s="7">
        <f t="shared" si="1"/>
        <v>-84</v>
      </c>
      <c r="M33" t="s">
        <v>686</v>
      </c>
    </row>
    <row r="34" spans="1:13" x14ac:dyDescent="0.35">
      <c r="A34" t="str">
        <f>_xlfn.XLOOKUP($B34, table_s3_events!$B:$B, table_s3_events!$A:$A)</f>
        <v>Eocene-Oligocene transition</v>
      </c>
      <c r="B34" t="s">
        <v>528</v>
      </c>
      <c r="C34" t="str">
        <f>_xlfn.XLOOKUP($B34, table_s3_events!$B:$B, table_s3_events!$E:$E)</f>
        <v>transient</v>
      </c>
      <c r="D34" s="5">
        <f>_xlfn.XLOOKUP($B34, table_s3_events!$B:$B, table_s3_events!$G:$G)</f>
        <v>34</v>
      </c>
      <c r="E34" t="s">
        <v>216</v>
      </c>
      <c r="F34" t="s">
        <v>637</v>
      </c>
      <c r="G34" t="s">
        <v>659</v>
      </c>
      <c r="H34" t="s">
        <v>634</v>
      </c>
      <c r="I34">
        <v>-77</v>
      </c>
      <c r="J34" s="2">
        <f>_xlfn.XLOOKUP(A34, table_s3_events!A:A, table_s3_events!J:J)</f>
        <v>100000</v>
      </c>
      <c r="K34" s="7">
        <f t="shared" si="0"/>
        <v>-7.7</v>
      </c>
      <c r="L34" s="7">
        <f t="shared" si="1"/>
        <v>-770</v>
      </c>
    </row>
    <row r="35" spans="1:13" x14ac:dyDescent="0.35">
      <c r="A35" t="str">
        <f>_xlfn.XLOOKUP($B35, table_s3_events!$B:$B, table_s3_events!$A:$A)</f>
        <v>Eocene-Oligocene transition</v>
      </c>
      <c r="B35" t="s">
        <v>528</v>
      </c>
      <c r="C35" t="str">
        <f>_xlfn.XLOOKUP($B35, table_s3_events!$B:$B, table_s3_events!$E:$E)</f>
        <v>transient</v>
      </c>
      <c r="D35" s="5">
        <f>_xlfn.XLOOKUP($B35, table_s3_events!$B:$B, table_s3_events!$G:$G)</f>
        <v>34</v>
      </c>
      <c r="E35" t="s">
        <v>18</v>
      </c>
      <c r="F35" t="s">
        <v>632</v>
      </c>
      <c r="G35" t="s">
        <v>643</v>
      </c>
      <c r="H35" t="s">
        <v>634</v>
      </c>
      <c r="I35">
        <v>-16</v>
      </c>
      <c r="J35" s="2">
        <f>_xlfn.XLOOKUP(A35, table_s3_events!A:A, table_s3_events!J:J)</f>
        <v>100000</v>
      </c>
      <c r="K35" s="7">
        <f t="shared" ref="K35:K66" si="4">IF(OR(F35="species", F35="genus"), (I35*10^4)/J35,"NA")</f>
        <v>-1.6</v>
      </c>
      <c r="L35" s="7">
        <f t="shared" ref="L35:L66" si="5">IF(H35="percent", I35/(J35/10^6), "NA")</f>
        <v>-160</v>
      </c>
    </row>
    <row r="36" spans="1:13" x14ac:dyDescent="0.35">
      <c r="A36" t="str">
        <f>_xlfn.XLOOKUP($B36, table_s3_events!$B:$B, table_s3_events!$A:$A)</f>
        <v>Eocene-Oligocene transition</v>
      </c>
      <c r="B36" t="s">
        <v>528</v>
      </c>
      <c r="C36" t="str">
        <f>_xlfn.XLOOKUP($B36, table_s3_events!$B:$B, table_s3_events!$E:$E)</f>
        <v>transient</v>
      </c>
      <c r="D36" s="5">
        <f>_xlfn.XLOOKUP($B36, table_s3_events!$B:$B, table_s3_events!$G:$G)</f>
        <v>34</v>
      </c>
      <c r="E36" t="s">
        <v>120</v>
      </c>
      <c r="F36" t="s">
        <v>637</v>
      </c>
      <c r="G36" t="s">
        <v>658</v>
      </c>
      <c r="H36" t="s">
        <v>634</v>
      </c>
      <c r="I36">
        <v>-15</v>
      </c>
      <c r="J36" s="2">
        <f>_xlfn.XLOOKUP(A36, table_s3_events!A:A, table_s3_events!J:J)</f>
        <v>100000</v>
      </c>
      <c r="K36" s="7">
        <f t="shared" si="4"/>
        <v>-1.5</v>
      </c>
      <c r="L36" s="7">
        <f t="shared" si="5"/>
        <v>-150</v>
      </c>
    </row>
    <row r="37" spans="1:13" x14ac:dyDescent="0.35">
      <c r="A37" t="str">
        <f>_xlfn.XLOOKUP($B37, table_s3_events!$B:$B, table_s3_events!$A:$A)</f>
        <v>Palaeocene-Eocene Thermal Maximum</v>
      </c>
      <c r="B37" t="s">
        <v>531</v>
      </c>
      <c r="C37" t="str">
        <f>_xlfn.XLOOKUP($B37, table_s3_events!$B:$B, table_s3_events!$E:$E)</f>
        <v>transient</v>
      </c>
      <c r="D37" s="5">
        <f>_xlfn.XLOOKUP($B37, table_s3_events!$B:$B, table_s3_events!$G:$G)</f>
        <v>56</v>
      </c>
      <c r="E37" t="s">
        <v>198</v>
      </c>
      <c r="F37" t="s">
        <v>637</v>
      </c>
      <c r="G37" t="s">
        <v>656</v>
      </c>
      <c r="H37" t="s">
        <v>634</v>
      </c>
      <c r="I37">
        <v>-65</v>
      </c>
      <c r="J37" s="2">
        <f>_xlfn.XLOOKUP(A37, table_s3_events!A:A, table_s3_events!J:J)</f>
        <v>150000</v>
      </c>
      <c r="K37" s="7">
        <f t="shared" si="4"/>
        <v>-4.333333333333333</v>
      </c>
      <c r="L37" s="7">
        <f t="shared" si="5"/>
        <v>-433.33333333333337</v>
      </c>
    </row>
    <row r="38" spans="1:13" x14ac:dyDescent="0.35">
      <c r="A38" t="str">
        <f>_xlfn.XLOOKUP($B38, table_s3_events!$B:$B, table_s3_events!$A:$A)</f>
        <v>Palaeocene-Eocene Thermal Maximum</v>
      </c>
      <c r="B38" t="s">
        <v>531</v>
      </c>
      <c r="C38" t="str">
        <f>_xlfn.XLOOKUP($B38, table_s3_events!$B:$B, table_s3_events!$E:$E)</f>
        <v>transient</v>
      </c>
      <c r="D38" s="5">
        <f>_xlfn.XLOOKUP($B38, table_s3_events!$B:$B, table_s3_events!$G:$G)</f>
        <v>56</v>
      </c>
      <c r="E38" t="s">
        <v>198</v>
      </c>
      <c r="F38" t="s">
        <v>637</v>
      </c>
      <c r="G38" t="s">
        <v>656</v>
      </c>
      <c r="H38" t="s">
        <v>634</v>
      </c>
      <c r="I38">
        <v>-33</v>
      </c>
      <c r="J38" s="2">
        <f>_xlfn.XLOOKUP(A38, table_s3_events!A:A, table_s3_events!J:J)</f>
        <v>150000</v>
      </c>
      <c r="K38" s="7">
        <f t="shared" si="4"/>
        <v>-2.2000000000000002</v>
      </c>
      <c r="L38" s="7">
        <f t="shared" si="5"/>
        <v>-220</v>
      </c>
    </row>
    <row r="39" spans="1:13" x14ac:dyDescent="0.35">
      <c r="A39" t="str">
        <f>_xlfn.XLOOKUP($B39, table_s3_events!$B:$B, table_s3_events!$A:$A)</f>
        <v>Palaeocene-Eocene Thermal Maximum</v>
      </c>
      <c r="B39" t="s">
        <v>531</v>
      </c>
      <c r="C39" t="str">
        <f>_xlfn.XLOOKUP($B39, table_s3_events!$B:$B, table_s3_events!$E:$E)</f>
        <v>transient</v>
      </c>
      <c r="D39" s="5">
        <f>_xlfn.XLOOKUP($B39, table_s3_events!$B:$B, table_s3_events!$G:$G)</f>
        <v>56</v>
      </c>
      <c r="E39" t="s">
        <v>80</v>
      </c>
      <c r="F39" t="s">
        <v>637</v>
      </c>
      <c r="G39" t="s">
        <v>636</v>
      </c>
      <c r="H39" t="s">
        <v>634</v>
      </c>
      <c r="I39">
        <v>-20</v>
      </c>
      <c r="J39" s="2">
        <f>_xlfn.XLOOKUP(A39, table_s3_events!A:A, table_s3_events!J:J)</f>
        <v>150000</v>
      </c>
      <c r="K39" s="7">
        <f t="shared" si="4"/>
        <v>-1.3333333333333333</v>
      </c>
      <c r="L39" s="7">
        <f t="shared" si="5"/>
        <v>-133.33333333333334</v>
      </c>
    </row>
    <row r="40" spans="1:13" x14ac:dyDescent="0.35">
      <c r="A40" t="str">
        <f>_xlfn.XLOOKUP($B40, table_s3_events!$B:$B, table_s3_events!$A:$A)</f>
        <v>Palaeocene-Eocene Thermal Maximum</v>
      </c>
      <c r="B40" t="s">
        <v>531</v>
      </c>
      <c r="C40" t="str">
        <f>_xlfn.XLOOKUP($B40, table_s3_events!$B:$B, table_s3_events!$E:$E)</f>
        <v>transient</v>
      </c>
      <c r="D40" s="5">
        <f>_xlfn.XLOOKUP($B40, table_s3_events!$B:$B, table_s3_events!$G:$G)</f>
        <v>56</v>
      </c>
      <c r="E40" t="s">
        <v>80</v>
      </c>
      <c r="F40" t="s">
        <v>637</v>
      </c>
      <c r="G40" t="s">
        <v>636</v>
      </c>
      <c r="H40" t="s">
        <v>634</v>
      </c>
      <c r="I40">
        <v>-1</v>
      </c>
      <c r="J40" s="2">
        <f>_xlfn.XLOOKUP(A40, table_s3_events!A:A, table_s3_events!J:J)</f>
        <v>150000</v>
      </c>
      <c r="K40" s="7">
        <f t="shared" si="4"/>
        <v>-6.6666666666666666E-2</v>
      </c>
      <c r="L40" s="7">
        <f t="shared" si="5"/>
        <v>-6.666666666666667</v>
      </c>
    </row>
    <row r="41" spans="1:13" x14ac:dyDescent="0.35">
      <c r="A41" t="str">
        <f>_xlfn.XLOOKUP($B41, table_s3_events!$B:$B, table_s3_events!$A:$A)</f>
        <v>Cretaceous-Palaeogene boundary</v>
      </c>
      <c r="B41" t="s">
        <v>533</v>
      </c>
      <c r="C41" t="str">
        <f>_xlfn.XLOOKUP($B41, table_s3_events!$B:$B, table_s3_events!$E:$E)</f>
        <v>transient</v>
      </c>
      <c r="D41" s="5">
        <f>_xlfn.XLOOKUP($B41, table_s3_events!$B:$B, table_s3_events!$G:$G)</f>
        <v>66</v>
      </c>
      <c r="E41" t="s">
        <v>18</v>
      </c>
      <c r="F41" t="s">
        <v>632</v>
      </c>
      <c r="G41" t="s">
        <v>643</v>
      </c>
      <c r="H41" t="s">
        <v>634</v>
      </c>
      <c r="I41">
        <v>-40</v>
      </c>
      <c r="J41" s="2">
        <f>_xlfn.XLOOKUP(A41, table_s3_events!A:A, table_s3_events!J:J)</f>
        <v>30</v>
      </c>
      <c r="K41" s="7">
        <f t="shared" si="4"/>
        <v>-13333.333333333334</v>
      </c>
      <c r="L41" s="7">
        <f t="shared" si="5"/>
        <v>-1333333.3333333333</v>
      </c>
    </row>
    <row r="42" spans="1:13" x14ac:dyDescent="0.35">
      <c r="A42" t="str">
        <f>_xlfn.XLOOKUP($B42, table_s3_events!$B:$B, table_s3_events!$A:$A)</f>
        <v>Cretaceous-Palaeogene boundary</v>
      </c>
      <c r="B42" t="s">
        <v>533</v>
      </c>
      <c r="C42" t="str">
        <f>_xlfn.XLOOKUP($B42, table_s3_events!$B:$B, table_s3_events!$E:$E)</f>
        <v>transient</v>
      </c>
      <c r="D42" s="5">
        <f>_xlfn.XLOOKUP($B42, table_s3_events!$B:$B, table_s3_events!$G:$G)</f>
        <v>66</v>
      </c>
      <c r="E42" t="s">
        <v>142</v>
      </c>
      <c r="F42" t="s">
        <v>632</v>
      </c>
      <c r="G42" t="s">
        <v>643</v>
      </c>
      <c r="H42" t="s">
        <v>634</v>
      </c>
      <c r="I42">
        <v>-40</v>
      </c>
      <c r="J42" s="2">
        <f>_xlfn.XLOOKUP(A42, table_s3_events!A:A, table_s3_events!J:J)</f>
        <v>30</v>
      </c>
      <c r="K42" s="7">
        <f t="shared" si="4"/>
        <v>-13333.333333333334</v>
      </c>
      <c r="L42" s="7">
        <f t="shared" si="5"/>
        <v>-1333333.3333333333</v>
      </c>
    </row>
    <row r="43" spans="1:13" x14ac:dyDescent="0.35">
      <c r="A43" t="str">
        <f>_xlfn.XLOOKUP($B43, table_s3_events!$B:$B, table_s3_events!$A:$A)</f>
        <v>Cretaceous-Palaeogene boundary</v>
      </c>
      <c r="B43" t="s">
        <v>533</v>
      </c>
      <c r="C43" t="str">
        <f>_xlfn.XLOOKUP($B43, table_s3_events!$B:$B, table_s3_events!$E:$E)</f>
        <v>transient</v>
      </c>
      <c r="D43" s="5">
        <f>_xlfn.XLOOKUP($B43, table_s3_events!$B:$B, table_s3_events!$G:$G)</f>
        <v>66</v>
      </c>
      <c r="E43" t="s">
        <v>202</v>
      </c>
      <c r="F43" t="s">
        <v>632</v>
      </c>
      <c r="G43" t="s">
        <v>643</v>
      </c>
      <c r="H43" t="s">
        <v>634</v>
      </c>
      <c r="I43">
        <v>-39</v>
      </c>
      <c r="J43" s="2">
        <f>_xlfn.XLOOKUP(A43, table_s3_events!A:A, table_s3_events!J:J)</f>
        <v>30</v>
      </c>
      <c r="K43" s="7">
        <f t="shared" si="4"/>
        <v>-13000</v>
      </c>
      <c r="L43" s="7">
        <f t="shared" si="5"/>
        <v>-1300000</v>
      </c>
    </row>
    <row r="44" spans="1:13" x14ac:dyDescent="0.35">
      <c r="A44" t="str">
        <f>_xlfn.XLOOKUP($B44, table_s3_events!$B:$B, table_s3_events!$A:$A)</f>
        <v>Cretaceous-Palaeogene boundary</v>
      </c>
      <c r="B44" t="s">
        <v>533</v>
      </c>
      <c r="C44" t="str">
        <f>_xlfn.XLOOKUP($B44, table_s3_events!$B:$B, table_s3_events!$E:$E)</f>
        <v>transient</v>
      </c>
      <c r="D44" s="5">
        <f>_xlfn.XLOOKUP($B44, table_s3_events!$B:$B, table_s3_events!$G:$G)</f>
        <v>66</v>
      </c>
      <c r="E44" t="s">
        <v>190</v>
      </c>
      <c r="F44" t="s">
        <v>637</v>
      </c>
      <c r="G44" t="s">
        <v>643</v>
      </c>
      <c r="H44" t="s">
        <v>634</v>
      </c>
      <c r="I44">
        <v>-75</v>
      </c>
      <c r="J44" s="2">
        <f>_xlfn.XLOOKUP(A44, table_s3_events!A:A, table_s3_events!J:J)</f>
        <v>30</v>
      </c>
      <c r="K44" s="7">
        <f t="shared" si="4"/>
        <v>-25000</v>
      </c>
      <c r="L44" s="7">
        <f t="shared" si="5"/>
        <v>-2500000</v>
      </c>
      <c r="M44" t="s">
        <v>687</v>
      </c>
    </row>
    <row r="45" spans="1:13" x14ac:dyDescent="0.35">
      <c r="A45" t="str">
        <f>_xlfn.XLOOKUP($B45, table_s3_events!$B:$B, table_s3_events!$A:$A)</f>
        <v>OAE2 (Cenomanian-Turonian)</v>
      </c>
      <c r="B45" t="s">
        <v>537</v>
      </c>
      <c r="C45" t="str">
        <f>_xlfn.XLOOKUP($B45, table_s3_events!$B:$B, table_s3_events!$E:$E)</f>
        <v>transient</v>
      </c>
      <c r="D45" s="5">
        <f>_xlfn.XLOOKUP($B45, table_s3_events!$B:$B, table_s3_events!$G:$G)</f>
        <v>94</v>
      </c>
      <c r="E45" t="s">
        <v>80</v>
      </c>
      <c r="F45" t="s">
        <v>637</v>
      </c>
      <c r="G45" t="s">
        <v>636</v>
      </c>
      <c r="H45" t="s">
        <v>634</v>
      </c>
      <c r="I45">
        <v>-20</v>
      </c>
      <c r="J45" s="2">
        <f>_xlfn.XLOOKUP(A45, table_s3_events!A:A, table_s3_events!J:J)</f>
        <v>500000</v>
      </c>
      <c r="K45" s="7">
        <f t="shared" si="4"/>
        <v>-0.4</v>
      </c>
      <c r="L45" s="7">
        <f t="shared" si="5"/>
        <v>-40</v>
      </c>
    </row>
    <row r="46" spans="1:13" x14ac:dyDescent="0.35">
      <c r="A46" t="str">
        <f>_xlfn.XLOOKUP($B46, table_s3_events!$B:$B, table_s3_events!$A:$A)</f>
        <v>OAE1a (Aptian)</v>
      </c>
      <c r="B46" t="s">
        <v>540</v>
      </c>
      <c r="C46" t="str">
        <f>_xlfn.XLOOKUP($B46, table_s3_events!$B:$B, table_s3_events!$E:$E)</f>
        <v>transient</v>
      </c>
      <c r="D46" s="5">
        <f>_xlfn.XLOOKUP($B46, table_s3_events!$B:$B, table_s3_events!$G:$G)</f>
        <v>120</v>
      </c>
      <c r="E46" t="s">
        <v>80</v>
      </c>
      <c r="F46" t="s">
        <v>637</v>
      </c>
      <c r="G46" t="s">
        <v>636</v>
      </c>
      <c r="H46" t="s">
        <v>634</v>
      </c>
      <c r="I46">
        <v>-22</v>
      </c>
      <c r="J46" s="2">
        <f>_xlfn.XLOOKUP(A46, table_s3_events!A:A, table_s3_events!J:J)</f>
        <v>500000</v>
      </c>
      <c r="K46" s="7">
        <f t="shared" si="4"/>
        <v>-0.44</v>
      </c>
      <c r="L46" s="7">
        <f t="shared" si="5"/>
        <v>-44</v>
      </c>
    </row>
    <row r="47" spans="1:13" x14ac:dyDescent="0.35">
      <c r="A47" t="str">
        <f>_xlfn.XLOOKUP($B47, table_s3_events!$B:$B, table_s3_events!$A:$A)</f>
        <v>Angiosperm Terrestrial Revolution</v>
      </c>
      <c r="B47" t="s">
        <v>542</v>
      </c>
      <c r="C47" t="str">
        <f>_xlfn.XLOOKUP($B47, table_s3_events!$B:$B, table_s3_events!$E:$E)</f>
        <v>persistent</v>
      </c>
      <c r="D47" s="5">
        <f>_xlfn.XLOOKUP($B47, table_s3_events!$B:$B, table_s3_events!$G:$G)</f>
        <v>140</v>
      </c>
      <c r="E47" t="s">
        <v>28</v>
      </c>
      <c r="F47" t="s">
        <v>637</v>
      </c>
      <c r="G47" t="s">
        <v>633</v>
      </c>
      <c r="H47" t="s">
        <v>634</v>
      </c>
      <c r="I47">
        <v>150</v>
      </c>
      <c r="J47" s="2">
        <f>_xlfn.XLOOKUP(A47, table_s3_events!A:A, table_s3_events!J:J)</f>
        <v>75000000</v>
      </c>
      <c r="K47" s="7">
        <f t="shared" si="4"/>
        <v>0.02</v>
      </c>
      <c r="L47" s="7">
        <f t="shared" si="5"/>
        <v>2</v>
      </c>
      <c r="M47" t="s">
        <v>688</v>
      </c>
    </row>
    <row r="48" spans="1:13" x14ac:dyDescent="0.35">
      <c r="A48" t="str">
        <f>_xlfn.XLOOKUP($B48, table_s3_events!$B:$B, table_s3_events!$A:$A)</f>
        <v>Angiosperm Terrestrial Revolution</v>
      </c>
      <c r="B48" t="s">
        <v>542</v>
      </c>
      <c r="C48" t="str">
        <f>_xlfn.XLOOKUP($B48, table_s3_events!$B:$B, table_s3_events!$E:$E)</f>
        <v>persistent</v>
      </c>
      <c r="D48" s="5">
        <f>_xlfn.XLOOKUP($B48, table_s3_events!$B:$B, table_s3_events!$G:$G)</f>
        <v>140</v>
      </c>
      <c r="E48" t="s">
        <v>62</v>
      </c>
      <c r="F48" t="s">
        <v>650</v>
      </c>
      <c r="G48" t="s">
        <v>633</v>
      </c>
      <c r="H48" t="s">
        <v>634</v>
      </c>
      <c r="I48">
        <v>161</v>
      </c>
      <c r="J48" s="2">
        <f>_xlfn.XLOOKUP(A48, table_s3_events!A:A, table_s3_events!J:J)</f>
        <v>75000000</v>
      </c>
      <c r="K48" s="7" t="str">
        <f t="shared" si="4"/>
        <v>NA</v>
      </c>
      <c r="L48" s="7">
        <f t="shared" si="5"/>
        <v>2.1466666666666665</v>
      </c>
      <c r="M48" t="s">
        <v>689</v>
      </c>
    </row>
    <row r="49" spans="1:13" x14ac:dyDescent="0.35">
      <c r="A49" t="str">
        <f>_xlfn.XLOOKUP($B49, table_s3_events!$B:$B, table_s3_events!$A:$A)</f>
        <v>Jurassic-Cretaceous extinction (Tithonian)</v>
      </c>
      <c r="B49" t="s">
        <v>547</v>
      </c>
      <c r="C49" t="str">
        <f>_xlfn.XLOOKUP($B49, table_s3_events!$B:$B, table_s3_events!$E:$E)</f>
        <v>transient</v>
      </c>
      <c r="D49" s="5">
        <f>_xlfn.XLOOKUP($B49, table_s3_events!$B:$B, table_s3_events!$G:$G)</f>
        <v>143.1</v>
      </c>
      <c r="E49" t="s">
        <v>18</v>
      </c>
      <c r="F49" t="s">
        <v>632</v>
      </c>
      <c r="G49" t="s">
        <v>643</v>
      </c>
      <c r="H49" t="s">
        <v>634</v>
      </c>
      <c r="I49">
        <v>-20</v>
      </c>
      <c r="J49" s="2">
        <f>_xlfn.XLOOKUP(A49, table_s3_events!A:A, table_s3_events!J:J)</f>
        <v>1000000</v>
      </c>
      <c r="K49" s="7">
        <f t="shared" si="4"/>
        <v>-0.2</v>
      </c>
      <c r="L49" s="7">
        <f t="shared" si="5"/>
        <v>-20</v>
      </c>
    </row>
    <row r="50" spans="1:13" x14ac:dyDescent="0.35">
      <c r="A50" t="str">
        <f>_xlfn.XLOOKUP($B50, table_s3_events!$B:$B, table_s3_events!$A:$A)</f>
        <v>T-OAE (Toarcian)</v>
      </c>
      <c r="B50" t="s">
        <v>550</v>
      </c>
      <c r="C50" t="str">
        <f>_xlfn.XLOOKUP($B50, table_s3_events!$B:$B, table_s3_events!$E:$E)</f>
        <v>transient</v>
      </c>
      <c r="D50" s="5">
        <f>_xlfn.XLOOKUP($B50, table_s3_events!$B:$B, table_s3_events!$G:$G)</f>
        <v>183</v>
      </c>
      <c r="E50" t="s">
        <v>18</v>
      </c>
      <c r="F50" t="s">
        <v>632</v>
      </c>
      <c r="G50" t="s">
        <v>643</v>
      </c>
      <c r="H50" t="s">
        <v>634</v>
      </c>
      <c r="I50">
        <v>-25</v>
      </c>
      <c r="J50" s="2">
        <f>_xlfn.XLOOKUP(A50, table_s3_events!A:A, table_s3_events!J:J)</f>
        <v>500000</v>
      </c>
      <c r="K50" s="7">
        <f t="shared" si="4"/>
        <v>-0.5</v>
      </c>
      <c r="L50" s="7">
        <f t="shared" si="5"/>
        <v>-50</v>
      </c>
    </row>
    <row r="51" spans="1:13" ht="15.65" customHeight="1" x14ac:dyDescent="0.35">
      <c r="A51" t="str">
        <f>_xlfn.XLOOKUP($B51, table_s3_events!$B:$B, table_s3_events!$A:$A)</f>
        <v>T-OAE (Toarcian)</v>
      </c>
      <c r="B51" t="s">
        <v>550</v>
      </c>
      <c r="C51" t="str">
        <f>_xlfn.XLOOKUP($B51, table_s3_events!$B:$B, table_s3_events!$E:$E)</f>
        <v>transient</v>
      </c>
      <c r="D51" s="5">
        <f>_xlfn.XLOOKUP($B51, table_s3_events!$B:$B, table_s3_events!$G:$G)</f>
        <v>183</v>
      </c>
      <c r="E51" t="s">
        <v>18</v>
      </c>
      <c r="F51" t="s">
        <v>632</v>
      </c>
      <c r="G51" t="s">
        <v>643</v>
      </c>
      <c r="H51" t="s">
        <v>634</v>
      </c>
      <c r="I51">
        <v>-22</v>
      </c>
      <c r="J51" s="2">
        <f>_xlfn.XLOOKUP(A51, table_s3_events!A:A, table_s3_events!J:J)</f>
        <v>500000</v>
      </c>
      <c r="K51" s="7">
        <f t="shared" si="4"/>
        <v>-0.44</v>
      </c>
      <c r="L51" s="7">
        <f t="shared" si="5"/>
        <v>-44</v>
      </c>
    </row>
    <row r="52" spans="1:13" x14ac:dyDescent="0.35">
      <c r="A52" t="str">
        <f>_xlfn.XLOOKUP($B52, table_s3_events!$B:$B, table_s3_events!$A:$A)</f>
        <v>T-OAE (Toarcian)</v>
      </c>
      <c r="B52" t="s">
        <v>550</v>
      </c>
      <c r="C52" t="str">
        <f>_xlfn.XLOOKUP($B52, table_s3_events!$B:$B, table_s3_events!$E:$E)</f>
        <v>transient</v>
      </c>
      <c r="D52" s="5">
        <f>_xlfn.XLOOKUP($B52, table_s3_events!$B:$B, table_s3_events!$G:$G)</f>
        <v>183</v>
      </c>
      <c r="E52" t="s">
        <v>80</v>
      </c>
      <c r="F52" t="s">
        <v>637</v>
      </c>
      <c r="G52" t="s">
        <v>636</v>
      </c>
      <c r="H52" t="s">
        <v>634</v>
      </c>
      <c r="I52">
        <v>-20</v>
      </c>
      <c r="J52" s="2">
        <f>_xlfn.XLOOKUP(A52, table_s3_events!A:A, table_s3_events!J:J)</f>
        <v>500000</v>
      </c>
      <c r="K52" s="7">
        <f t="shared" si="4"/>
        <v>-0.4</v>
      </c>
      <c r="L52" s="7">
        <f t="shared" si="5"/>
        <v>-40</v>
      </c>
    </row>
    <row r="53" spans="1:13" x14ac:dyDescent="0.35">
      <c r="A53" t="str">
        <f>_xlfn.XLOOKUP($B53, table_s3_events!$B:$B, table_s3_events!$A:$A)</f>
        <v>T-OAE (Toarcian)</v>
      </c>
      <c r="B53" t="s">
        <v>550</v>
      </c>
      <c r="C53" t="str">
        <f>_xlfn.XLOOKUP($B53, table_s3_events!$B:$B, table_s3_events!$E:$E)</f>
        <v>transient</v>
      </c>
      <c r="D53" s="5">
        <f>_xlfn.XLOOKUP($B53, table_s3_events!$B:$B, table_s3_events!$G:$G)</f>
        <v>183</v>
      </c>
      <c r="E53" t="s">
        <v>80</v>
      </c>
      <c r="F53" t="s">
        <v>637</v>
      </c>
      <c r="G53" t="s">
        <v>636</v>
      </c>
      <c r="H53" t="s">
        <v>634</v>
      </c>
      <c r="I53">
        <v>-15</v>
      </c>
      <c r="J53" s="2">
        <f>_xlfn.XLOOKUP(A53, table_s3_events!A:A, table_s3_events!J:J)</f>
        <v>500000</v>
      </c>
      <c r="K53" s="7">
        <f t="shared" si="4"/>
        <v>-0.3</v>
      </c>
      <c r="L53" s="7">
        <f t="shared" si="5"/>
        <v>-30</v>
      </c>
    </row>
    <row r="54" spans="1:13" x14ac:dyDescent="0.35">
      <c r="A54" t="str">
        <f>_xlfn.XLOOKUP($B54, table_s3_events!$B:$B, table_s3_events!$A:$A)</f>
        <v>T-OAE (Toarcian)</v>
      </c>
      <c r="B54" t="s">
        <v>550</v>
      </c>
      <c r="C54" t="s">
        <v>525</v>
      </c>
      <c r="D54" s="5">
        <f>_xlfn.XLOOKUP($B54, table_s3_events!$B:$B, table_s3_events!$G:$G)</f>
        <v>183</v>
      </c>
      <c r="E54" t="s">
        <v>68</v>
      </c>
      <c r="F54" t="s">
        <v>632</v>
      </c>
      <c r="G54" t="s">
        <v>643</v>
      </c>
      <c r="H54" t="s">
        <v>634</v>
      </c>
      <c r="I54">
        <v>-26</v>
      </c>
      <c r="J54" s="2">
        <f>_xlfn.XLOOKUP(A54, table_s3_events!A:A, table_s3_events!J:J)</f>
        <v>500000</v>
      </c>
      <c r="K54" s="7">
        <f t="shared" si="4"/>
        <v>-0.52</v>
      </c>
      <c r="L54" s="7">
        <f t="shared" si="5"/>
        <v>-52</v>
      </c>
    </row>
    <row r="55" spans="1:13" x14ac:dyDescent="0.35">
      <c r="A55" t="str">
        <f>_xlfn.XLOOKUP($B55, table_s3_events!$B:$B, table_s3_events!$A:$A)</f>
        <v>End-Triassic</v>
      </c>
      <c r="B55" t="s">
        <v>552</v>
      </c>
      <c r="C55" t="str">
        <f>_xlfn.XLOOKUP($B55, table_s3_events!$B:$B, table_s3_events!$E:$E)</f>
        <v>transient</v>
      </c>
      <c r="D55" s="5">
        <f>_xlfn.XLOOKUP($B55, table_s3_events!$B:$B, table_s3_events!$G:$G)</f>
        <v>201</v>
      </c>
      <c r="E55" t="s">
        <v>80</v>
      </c>
      <c r="F55" t="s">
        <v>637</v>
      </c>
      <c r="G55" t="s">
        <v>636</v>
      </c>
      <c r="H55" t="s">
        <v>634</v>
      </c>
      <c r="I55">
        <v>-80</v>
      </c>
      <c r="J55" s="2">
        <f>_xlfn.XLOOKUP(A55, table_s3_events!A:A, table_s3_events!J:J)</f>
        <v>85000</v>
      </c>
      <c r="K55" s="7">
        <f t="shared" si="4"/>
        <v>-9.4117647058823533</v>
      </c>
      <c r="L55" s="7">
        <f t="shared" si="5"/>
        <v>-941.17647058823525</v>
      </c>
    </row>
    <row r="56" spans="1:13" x14ac:dyDescent="0.35">
      <c r="A56" t="str">
        <f>_xlfn.XLOOKUP($B56, table_s3_events!$B:$B, table_s3_events!$A:$A)</f>
        <v>End-Triassic</v>
      </c>
      <c r="B56" t="s">
        <v>552</v>
      </c>
      <c r="C56" t="str">
        <f>_xlfn.XLOOKUP($B56, table_s3_events!$B:$B, table_s3_events!$E:$E)</f>
        <v>transient</v>
      </c>
      <c r="D56" s="5">
        <f>_xlfn.XLOOKUP($B56, table_s3_events!$B:$B, table_s3_events!$G:$G)</f>
        <v>201</v>
      </c>
      <c r="E56" t="s">
        <v>142</v>
      </c>
      <c r="F56" t="s">
        <v>632</v>
      </c>
      <c r="G56" t="s">
        <v>643</v>
      </c>
      <c r="H56" t="s">
        <v>634</v>
      </c>
      <c r="I56">
        <v>-73</v>
      </c>
      <c r="J56" s="2">
        <f>_xlfn.XLOOKUP(A56, table_s3_events!A:A, table_s3_events!J:J)</f>
        <v>85000</v>
      </c>
      <c r="K56" s="7">
        <f t="shared" si="4"/>
        <v>-8.5882352941176467</v>
      </c>
      <c r="L56" s="7">
        <f t="shared" si="5"/>
        <v>-858.82352941176464</v>
      </c>
    </row>
    <row r="57" spans="1:13" x14ac:dyDescent="0.35">
      <c r="A57" t="str">
        <f>_xlfn.XLOOKUP($B57, table_s3_events!$B:$B, table_s3_events!$A:$A)</f>
        <v>End-Triassic</v>
      </c>
      <c r="B57" t="s">
        <v>552</v>
      </c>
      <c r="C57" t="str">
        <f>_xlfn.XLOOKUP($B57, table_s3_events!$B:$B, table_s3_events!$E:$E)</f>
        <v>transient</v>
      </c>
      <c r="D57" s="5">
        <f>_xlfn.XLOOKUP($B57, table_s3_events!$B:$B, table_s3_events!$G:$G)</f>
        <v>201</v>
      </c>
      <c r="E57" t="s">
        <v>18</v>
      </c>
      <c r="F57" t="s">
        <v>632</v>
      </c>
      <c r="G57" t="s">
        <v>643</v>
      </c>
      <c r="H57" t="s">
        <v>634</v>
      </c>
      <c r="I57">
        <v>-47</v>
      </c>
      <c r="J57" s="2">
        <f>_xlfn.XLOOKUP(A57, table_s3_events!A:A, table_s3_events!J:J)</f>
        <v>85000</v>
      </c>
      <c r="K57" s="7">
        <f t="shared" si="4"/>
        <v>-5.5294117647058822</v>
      </c>
      <c r="L57" s="7">
        <f t="shared" si="5"/>
        <v>-552.94117647058818</v>
      </c>
    </row>
    <row r="58" spans="1:13" x14ac:dyDescent="0.35">
      <c r="A58" t="str">
        <f>_xlfn.XLOOKUP($B58, table_s3_events!$B:$B, table_s3_events!$A:$A)</f>
        <v>Carnian (Triassic)</v>
      </c>
      <c r="B58" t="s">
        <v>554</v>
      </c>
      <c r="C58" t="str">
        <f>_xlfn.XLOOKUP($B58, table_s3_events!$B:$B, table_s3_events!$E:$E)</f>
        <v>transient</v>
      </c>
      <c r="D58" s="5">
        <f>_xlfn.XLOOKUP($B58, table_s3_events!$B:$B, table_s3_events!$G:$G)</f>
        <v>234</v>
      </c>
      <c r="E58" t="s">
        <v>182</v>
      </c>
      <c r="F58" t="s">
        <v>632</v>
      </c>
      <c r="G58" t="s">
        <v>661</v>
      </c>
      <c r="H58" t="s">
        <v>634</v>
      </c>
      <c r="I58">
        <v>-62</v>
      </c>
      <c r="J58" s="2">
        <f>_xlfn.XLOOKUP(A58, table_s3_events!A:A, table_s3_events!J:J)</f>
        <v>1090000</v>
      </c>
      <c r="K58" s="7">
        <f t="shared" si="4"/>
        <v>-0.56880733944954132</v>
      </c>
      <c r="L58" s="7">
        <f t="shared" si="5"/>
        <v>-56.880733944954123</v>
      </c>
      <c r="M58" t="s">
        <v>690</v>
      </c>
    </row>
    <row r="59" spans="1:13" x14ac:dyDescent="0.35">
      <c r="A59" t="str">
        <f>_xlfn.XLOOKUP($B59, table_s3_events!$B:$B, table_s3_events!$A:$A)</f>
        <v>Carnian (Triassic)</v>
      </c>
      <c r="B59" t="s">
        <v>554</v>
      </c>
      <c r="C59" t="str">
        <f>_xlfn.XLOOKUP($B59, table_s3_events!$B:$B, table_s3_events!$E:$E)</f>
        <v>transient</v>
      </c>
      <c r="D59" s="5">
        <f>_xlfn.XLOOKUP($B59, table_s3_events!$B:$B, table_s3_events!$G:$G)</f>
        <v>234</v>
      </c>
      <c r="E59" t="s">
        <v>182</v>
      </c>
      <c r="F59" t="s">
        <v>632</v>
      </c>
      <c r="G59" t="s">
        <v>661</v>
      </c>
      <c r="H59" t="s">
        <v>634</v>
      </c>
      <c r="I59">
        <v>-51</v>
      </c>
      <c r="J59" s="2">
        <f>_xlfn.XLOOKUP(A59, table_s3_events!A:A, table_s3_events!J:J)</f>
        <v>1090000</v>
      </c>
      <c r="K59" s="7">
        <f t="shared" si="4"/>
        <v>-0.46788990825688076</v>
      </c>
      <c r="L59" s="7">
        <f t="shared" si="5"/>
        <v>-46.788990825688067</v>
      </c>
      <c r="M59" t="s">
        <v>690</v>
      </c>
    </row>
    <row r="60" spans="1:13" x14ac:dyDescent="0.35">
      <c r="A60" t="str">
        <f>_xlfn.XLOOKUP($B60, table_s3_events!$B:$B, table_s3_events!$A:$A)</f>
        <v>Carnian (Triassic)</v>
      </c>
      <c r="B60" t="s">
        <v>554</v>
      </c>
      <c r="C60" t="str">
        <f>_xlfn.XLOOKUP($B60, table_s3_events!$B:$B, table_s3_events!$E:$E)</f>
        <v>transient</v>
      </c>
      <c r="D60" s="5">
        <f>_xlfn.XLOOKUP($B60, table_s3_events!$B:$B, table_s3_events!$G:$G)</f>
        <v>234</v>
      </c>
      <c r="E60" t="s">
        <v>66</v>
      </c>
      <c r="F60" t="s">
        <v>632</v>
      </c>
      <c r="G60" t="s">
        <v>643</v>
      </c>
      <c r="H60" t="s">
        <v>634</v>
      </c>
      <c r="I60">
        <v>-33</v>
      </c>
      <c r="J60" s="2">
        <f>_xlfn.XLOOKUP(A60, table_s3_events!A:A, table_s3_events!J:J)</f>
        <v>1090000</v>
      </c>
      <c r="K60" s="7">
        <f t="shared" si="4"/>
        <v>-0.30275229357798167</v>
      </c>
      <c r="L60" s="7">
        <f t="shared" si="5"/>
        <v>-30.275229357798164</v>
      </c>
      <c r="M60" t="s">
        <v>691</v>
      </c>
    </row>
    <row r="61" spans="1:13" x14ac:dyDescent="0.35">
      <c r="A61" t="str">
        <f>_xlfn.XLOOKUP($B61, table_s3_events!$B:$B, table_s3_events!$A:$A)</f>
        <v>Permo-Triassic mass extinction</v>
      </c>
      <c r="B61" t="s">
        <v>560</v>
      </c>
      <c r="C61" t="str">
        <f>_xlfn.XLOOKUP($B61, table_s3_events!$B:$B, table_s3_events!$E:$E)</f>
        <v>transient</v>
      </c>
      <c r="D61" s="5">
        <f>_xlfn.XLOOKUP($B61, table_s3_events!$B:$B, table_s3_events!$G:$G)</f>
        <v>252</v>
      </c>
      <c r="E61" t="s">
        <v>80</v>
      </c>
      <c r="F61" t="s">
        <v>637</v>
      </c>
      <c r="G61" t="s">
        <v>636</v>
      </c>
      <c r="H61" t="s">
        <v>634</v>
      </c>
      <c r="I61">
        <v>-95</v>
      </c>
      <c r="J61" s="2">
        <f>_xlfn.XLOOKUP(A61, table_s3_events!A:A, table_s3_events!J:J)</f>
        <v>60000</v>
      </c>
      <c r="K61" s="7">
        <f t="shared" si="4"/>
        <v>-15.833333333333334</v>
      </c>
      <c r="L61" s="7">
        <f t="shared" si="5"/>
        <v>-1583.3333333333335</v>
      </c>
    </row>
    <row r="62" spans="1:13" x14ac:dyDescent="0.35">
      <c r="A62" t="str">
        <f>_xlfn.XLOOKUP($B62, table_s3_events!$B:$B, table_s3_events!$A:$A)</f>
        <v>Permo-Triassic mass extinction</v>
      </c>
      <c r="B62" t="s">
        <v>560</v>
      </c>
      <c r="C62" t="str">
        <f>_xlfn.XLOOKUP($B62, table_s3_events!$B:$B, table_s3_events!$E:$E)</f>
        <v>transient</v>
      </c>
      <c r="D62" s="5">
        <f>_xlfn.XLOOKUP($B62, table_s3_events!$B:$B, table_s3_events!$G:$G)</f>
        <v>252</v>
      </c>
      <c r="E62" t="s">
        <v>142</v>
      </c>
      <c r="F62" t="s">
        <v>632</v>
      </c>
      <c r="G62" t="s">
        <v>643</v>
      </c>
      <c r="H62" t="s">
        <v>634</v>
      </c>
      <c r="I62">
        <v>-83</v>
      </c>
      <c r="J62" s="2">
        <f>_xlfn.XLOOKUP(A62, table_s3_events!A:A, table_s3_events!J:J)</f>
        <v>60000</v>
      </c>
      <c r="K62" s="7">
        <f t="shared" si="4"/>
        <v>-13.833333333333334</v>
      </c>
      <c r="L62" s="7">
        <f t="shared" si="5"/>
        <v>-1383.3333333333335</v>
      </c>
    </row>
    <row r="63" spans="1:13" x14ac:dyDescent="0.35">
      <c r="A63" t="str">
        <f>_xlfn.XLOOKUP($B63, table_s3_events!$B:$B, table_s3_events!$A:$A)</f>
        <v>Permo-Triassic mass extinction</v>
      </c>
      <c r="B63" t="s">
        <v>560</v>
      </c>
      <c r="C63" t="str">
        <f>_xlfn.XLOOKUP($B63, table_s3_events!$B:$B, table_s3_events!$E:$E)</f>
        <v>transient</v>
      </c>
      <c r="D63" s="5">
        <f>_xlfn.XLOOKUP($B63, table_s3_events!$B:$B, table_s3_events!$G:$G)</f>
        <v>252</v>
      </c>
      <c r="E63" t="s">
        <v>226</v>
      </c>
      <c r="F63" t="s">
        <v>650</v>
      </c>
      <c r="G63" t="s">
        <v>663</v>
      </c>
      <c r="H63" t="s">
        <v>634</v>
      </c>
      <c r="I63">
        <v>-70</v>
      </c>
      <c r="J63" s="2">
        <f>_xlfn.XLOOKUP(A63, table_s3_events!A:A, table_s3_events!J:J)</f>
        <v>60000</v>
      </c>
      <c r="K63" s="7" t="str">
        <f t="shared" si="4"/>
        <v>NA</v>
      </c>
      <c r="L63" s="7">
        <f t="shared" si="5"/>
        <v>-1166.6666666666667</v>
      </c>
    </row>
    <row r="64" spans="1:13" x14ac:dyDescent="0.35">
      <c r="A64" t="str">
        <f>_xlfn.XLOOKUP($B64, table_s3_events!$B:$B, table_s3_events!$A:$A)</f>
        <v>Permo-Triassic mass extinction</v>
      </c>
      <c r="B64" t="s">
        <v>560</v>
      </c>
      <c r="C64" t="str">
        <f>_xlfn.XLOOKUP($B64, table_s3_events!$B:$B, table_s3_events!$E:$E)</f>
        <v>transient</v>
      </c>
      <c r="D64" s="5">
        <f>_xlfn.XLOOKUP($B64, table_s3_events!$B:$B, table_s3_events!$G:$G)</f>
        <v>252</v>
      </c>
      <c r="E64" t="s">
        <v>202</v>
      </c>
      <c r="F64" t="s">
        <v>632</v>
      </c>
      <c r="G64" t="s">
        <v>643</v>
      </c>
      <c r="H64" t="s">
        <v>634</v>
      </c>
      <c r="I64">
        <v>-62</v>
      </c>
      <c r="J64" s="2">
        <f>_xlfn.XLOOKUP(A64, table_s3_events!A:A, table_s3_events!J:J)</f>
        <v>60000</v>
      </c>
      <c r="K64" s="7">
        <f t="shared" si="4"/>
        <v>-10.333333333333334</v>
      </c>
      <c r="L64" s="7">
        <f t="shared" si="5"/>
        <v>-1033.3333333333335</v>
      </c>
    </row>
    <row r="65" spans="1:26" x14ac:dyDescent="0.35">
      <c r="A65" t="str">
        <f>_xlfn.XLOOKUP($B65, table_s3_events!$B:$B, table_s3_events!$A:$A)</f>
        <v>Permo-Triassic mass extinction</v>
      </c>
      <c r="B65" t="s">
        <v>560</v>
      </c>
      <c r="C65" t="str">
        <f>_xlfn.XLOOKUP($B65, table_s3_events!$B:$B, table_s3_events!$E:$E)</f>
        <v>transient</v>
      </c>
      <c r="D65" s="5">
        <f>_xlfn.XLOOKUP($B65, table_s3_events!$B:$B, table_s3_events!$G:$G)</f>
        <v>252</v>
      </c>
      <c r="E65" t="s">
        <v>18</v>
      </c>
      <c r="F65" t="s">
        <v>632</v>
      </c>
      <c r="G65" t="s">
        <v>643</v>
      </c>
      <c r="H65" t="s">
        <v>634</v>
      </c>
      <c r="I65">
        <v>-56</v>
      </c>
      <c r="J65" s="2">
        <f>_xlfn.XLOOKUP(A65, table_s3_events!A:A, table_s3_events!J:J)</f>
        <v>60000</v>
      </c>
      <c r="K65" s="7">
        <f t="shared" si="4"/>
        <v>-9.3333333333333339</v>
      </c>
      <c r="L65" s="7">
        <f t="shared" si="5"/>
        <v>-933.33333333333337</v>
      </c>
    </row>
    <row r="66" spans="1:26" x14ac:dyDescent="0.35">
      <c r="A66" t="str">
        <f>_xlfn.XLOOKUP($B66, table_s3_events!$B:$B, table_s3_events!$A:$A)</f>
        <v>End-Guadalupian (Capitanian; Permian)</v>
      </c>
      <c r="B66" t="s">
        <v>563</v>
      </c>
      <c r="C66" t="str">
        <f>_xlfn.XLOOKUP($B66, table_s3_events!$B:$B, table_s3_events!$E:$E)</f>
        <v>transient</v>
      </c>
      <c r="D66" s="5">
        <f>_xlfn.XLOOKUP($B66, table_s3_events!$B:$B, table_s3_events!$G:$G)</f>
        <v>262</v>
      </c>
      <c r="E66" t="s">
        <v>18</v>
      </c>
      <c r="F66" t="s">
        <v>632</v>
      </c>
      <c r="G66" t="s">
        <v>643</v>
      </c>
      <c r="H66" t="s">
        <v>634</v>
      </c>
      <c r="I66">
        <v>-48</v>
      </c>
      <c r="J66" s="2">
        <f>_xlfn.XLOOKUP(A66, table_s3_events!A:A, table_s3_events!J:J)</f>
        <v>1500000</v>
      </c>
      <c r="K66" s="7">
        <f t="shared" si="4"/>
        <v>-0.32</v>
      </c>
      <c r="L66" s="7">
        <f t="shared" si="5"/>
        <v>-32</v>
      </c>
    </row>
    <row r="67" spans="1:26" x14ac:dyDescent="0.35">
      <c r="A67" t="str">
        <f>_xlfn.XLOOKUP($B67, table_s3_events!$B:$B, table_s3_events!$A:$A)</f>
        <v>End-Guadalupian (Capitanian; Permian)</v>
      </c>
      <c r="B67" t="s">
        <v>563</v>
      </c>
      <c r="C67" t="str">
        <f>_xlfn.XLOOKUP($B67, table_s3_events!$B:$B, table_s3_events!$E:$E)</f>
        <v>transient</v>
      </c>
      <c r="D67" s="5">
        <f>_xlfn.XLOOKUP($B67, table_s3_events!$B:$B, table_s3_events!$G:$G)</f>
        <v>262</v>
      </c>
      <c r="E67" t="s">
        <v>202</v>
      </c>
      <c r="F67" t="s">
        <v>632</v>
      </c>
      <c r="G67" t="s">
        <v>643</v>
      </c>
      <c r="H67" t="s">
        <v>634</v>
      </c>
      <c r="I67">
        <v>-34</v>
      </c>
      <c r="J67" s="2">
        <f>_xlfn.XLOOKUP(A67, table_s3_events!A:A, table_s3_events!J:J)</f>
        <v>1500000</v>
      </c>
      <c r="K67" s="7">
        <f t="shared" ref="K67:K98" si="6">IF(OR(F67="species", F67="genus"), (I67*10^4)/J67,"NA")</f>
        <v>-0.22666666666666666</v>
      </c>
      <c r="L67" s="7">
        <f t="shared" ref="L67:L98" si="7">IF(H67="percent", I67/(J67/10^6), "NA")</f>
        <v>-22.666666666666668</v>
      </c>
    </row>
    <row r="68" spans="1:26" x14ac:dyDescent="0.35">
      <c r="A68" t="str">
        <f>_xlfn.XLOOKUP($B68, table_s3_events!$B:$B, table_s3_events!$A:$A)</f>
        <v>End-Guadalupian (Capitanian; Permian)</v>
      </c>
      <c r="B68" t="s">
        <v>563</v>
      </c>
      <c r="C68" t="str">
        <f>_xlfn.XLOOKUP($B68, table_s3_events!$B:$B, table_s3_events!$E:$E)</f>
        <v>transient</v>
      </c>
      <c r="D68" s="5">
        <f>_xlfn.XLOOKUP($B68, table_s3_events!$B:$B, table_s3_events!$G:$G)</f>
        <v>262</v>
      </c>
      <c r="E68" t="s">
        <v>142</v>
      </c>
      <c r="F68" t="s">
        <v>632</v>
      </c>
      <c r="G68" t="s">
        <v>643</v>
      </c>
      <c r="H68" t="s">
        <v>634</v>
      </c>
      <c r="I68">
        <v>-25</v>
      </c>
      <c r="J68" s="2">
        <f>_xlfn.XLOOKUP(A68, table_s3_events!A:A, table_s3_events!J:J)</f>
        <v>1500000</v>
      </c>
      <c r="K68" s="7">
        <f t="shared" si="6"/>
        <v>-0.16666666666666666</v>
      </c>
      <c r="L68" s="7">
        <f t="shared" si="7"/>
        <v>-16.666666666666668</v>
      </c>
    </row>
    <row r="69" spans="1:26" x14ac:dyDescent="0.35">
      <c r="A69" t="str">
        <f>_xlfn.XLOOKUP($B69, table_s3_events!$B:$B, table_s3_events!$A:$A)</f>
        <v>Serpukhovian (late Mississippian; Carboniferous)</v>
      </c>
      <c r="B69" t="s">
        <v>565</v>
      </c>
      <c r="C69" t="str">
        <f>_xlfn.XLOOKUP($B69, table_s3_events!$B:$B, table_s3_events!$E:$E)</f>
        <v>transient</v>
      </c>
      <c r="D69" s="5">
        <f>_xlfn.XLOOKUP($B69, table_s3_events!$B:$B, table_s3_events!$G:$G)</f>
        <v>325</v>
      </c>
      <c r="E69" t="s">
        <v>142</v>
      </c>
      <c r="F69" t="s">
        <v>632</v>
      </c>
      <c r="G69" t="s">
        <v>643</v>
      </c>
      <c r="H69" t="s">
        <v>634</v>
      </c>
      <c r="I69">
        <v>-39</v>
      </c>
      <c r="J69" s="2">
        <f>_xlfn.XLOOKUP(A69, table_s3_events!A:A, table_s3_events!J:J)</f>
        <v>4000000</v>
      </c>
      <c r="K69" s="7">
        <f t="shared" si="6"/>
        <v>-9.7500000000000003E-2</v>
      </c>
      <c r="L69" s="7">
        <f t="shared" si="7"/>
        <v>-9.75</v>
      </c>
    </row>
    <row r="70" spans="1:26" x14ac:dyDescent="0.35">
      <c r="A70" t="str">
        <f>_xlfn.XLOOKUP($B70, table_s3_events!$B:$B, table_s3_events!$A:$A)</f>
        <v>Serpukhovian (late Mississippian; Carboniferous)</v>
      </c>
      <c r="B70" t="s">
        <v>565</v>
      </c>
      <c r="C70" t="str">
        <f>_xlfn.XLOOKUP($B70, table_s3_events!$B:$B, table_s3_events!$E:$E)</f>
        <v>transient</v>
      </c>
      <c r="D70" s="5">
        <f>_xlfn.XLOOKUP($B70, table_s3_events!$B:$B, table_s3_events!$G:$G)</f>
        <v>325</v>
      </c>
      <c r="E70" t="s">
        <v>18</v>
      </c>
      <c r="F70" t="s">
        <v>632</v>
      </c>
      <c r="G70" t="s">
        <v>643</v>
      </c>
      <c r="H70" t="s">
        <v>634</v>
      </c>
      <c r="I70">
        <v>-31</v>
      </c>
      <c r="J70" s="2">
        <f>_xlfn.XLOOKUP(A70, table_s3_events!A:A, table_s3_events!J:J)</f>
        <v>4000000</v>
      </c>
      <c r="K70" s="7">
        <f t="shared" si="6"/>
        <v>-7.7499999999999999E-2</v>
      </c>
      <c r="L70" s="7">
        <f t="shared" si="7"/>
        <v>-7.75</v>
      </c>
      <c r="Z70" s="8"/>
    </row>
    <row r="71" spans="1:26" x14ac:dyDescent="0.35">
      <c r="A71" t="str">
        <f>_xlfn.XLOOKUP($B71, table_s3_events!$B:$B, table_s3_events!$A:$A)</f>
        <v>Serpukhovian (late Mississippian; Carboniferous)</v>
      </c>
      <c r="B71" t="s">
        <v>565</v>
      </c>
      <c r="C71" t="str">
        <f>_xlfn.XLOOKUP($B71, table_s3_events!$B:$B, table_s3_events!$E:$E)</f>
        <v>transient</v>
      </c>
      <c r="D71" s="5">
        <f>_xlfn.XLOOKUP($B71, table_s3_events!$B:$B, table_s3_events!$G:$G)</f>
        <v>325</v>
      </c>
      <c r="E71" t="s">
        <v>202</v>
      </c>
      <c r="F71" t="s">
        <v>632</v>
      </c>
      <c r="G71" t="s">
        <v>643</v>
      </c>
      <c r="H71" t="s">
        <v>634</v>
      </c>
      <c r="I71">
        <v>-14</v>
      </c>
      <c r="J71" s="2">
        <f>_xlfn.XLOOKUP(A71, table_s3_events!A:A, table_s3_events!J:J)</f>
        <v>4000000</v>
      </c>
      <c r="K71" s="7">
        <f t="shared" si="6"/>
        <v>-3.5000000000000003E-2</v>
      </c>
      <c r="L71" s="7">
        <f t="shared" si="7"/>
        <v>-3.5</v>
      </c>
      <c r="Z71" s="8"/>
    </row>
    <row r="72" spans="1:26" x14ac:dyDescent="0.35">
      <c r="A72" t="str">
        <f>_xlfn.XLOOKUP($B72, table_s3_events!$B:$B, table_s3_events!$A:$A)</f>
        <v>Hangenberg Event (end-Devonian)</v>
      </c>
      <c r="B72" t="s">
        <v>568</v>
      </c>
      <c r="C72" t="str">
        <f>_xlfn.XLOOKUP($B72, table_s3_events!$B:$B, table_s3_events!$E:$E)</f>
        <v>transient</v>
      </c>
      <c r="D72" s="5">
        <f>_xlfn.XLOOKUP($B72, table_s3_events!$B:$B, table_s3_events!$G:$G)</f>
        <v>360</v>
      </c>
      <c r="E72" t="s">
        <v>142</v>
      </c>
      <c r="F72" t="s">
        <v>632</v>
      </c>
      <c r="G72" t="s">
        <v>643</v>
      </c>
      <c r="H72" t="s">
        <v>634</v>
      </c>
      <c r="I72">
        <v>-50</v>
      </c>
      <c r="J72" s="2">
        <f>_xlfn.XLOOKUP(A72, table_s3_events!A:A, table_s3_events!J:J)</f>
        <v>100000</v>
      </c>
      <c r="K72" s="7">
        <f t="shared" si="6"/>
        <v>-5</v>
      </c>
      <c r="L72" s="7">
        <f t="shared" si="7"/>
        <v>-500</v>
      </c>
      <c r="Z72" s="8"/>
    </row>
    <row r="73" spans="1:26" x14ac:dyDescent="0.35">
      <c r="A73" t="str">
        <f>_xlfn.XLOOKUP($B73, table_s3_events!$B:$B, table_s3_events!$A:$A)</f>
        <v>Hangenberg Event (end-Devonian)</v>
      </c>
      <c r="B73" t="s">
        <v>568</v>
      </c>
      <c r="C73" t="str">
        <f>_xlfn.XLOOKUP($B73, table_s3_events!$B:$B, table_s3_events!$E:$E)</f>
        <v>transient</v>
      </c>
      <c r="D73" s="5">
        <f>_xlfn.XLOOKUP($B73, table_s3_events!$B:$B, table_s3_events!$G:$G)</f>
        <v>360</v>
      </c>
      <c r="E73" t="s">
        <v>18</v>
      </c>
      <c r="F73" t="s">
        <v>632</v>
      </c>
      <c r="G73" t="s">
        <v>643</v>
      </c>
      <c r="H73" t="s">
        <v>634</v>
      </c>
      <c r="I73">
        <v>-31</v>
      </c>
      <c r="J73" s="2">
        <f>_xlfn.XLOOKUP(A73, table_s3_events!A:A, table_s3_events!J:J)</f>
        <v>100000</v>
      </c>
      <c r="K73" s="7">
        <f t="shared" si="6"/>
        <v>-3.1</v>
      </c>
      <c r="L73" s="7">
        <f t="shared" si="7"/>
        <v>-310</v>
      </c>
      <c r="Y73" s="8"/>
      <c r="Z73" s="8"/>
    </row>
    <row r="74" spans="1:26" x14ac:dyDescent="0.35">
      <c r="A74" t="str">
        <f>_xlfn.XLOOKUP($B74, table_s3_events!$B:$B, table_s3_events!$A:$A)</f>
        <v>Frasnian-Famenian (Late Devonian)</v>
      </c>
      <c r="B74" t="s">
        <v>571</v>
      </c>
      <c r="C74" t="str">
        <f>_xlfn.XLOOKUP($B74, table_s3_events!$B:$B, table_s3_events!$E:$E)</f>
        <v>transient</v>
      </c>
      <c r="D74" s="5">
        <f>_xlfn.XLOOKUP($B74, table_s3_events!$B:$B, table_s3_events!$G:$G)</f>
        <v>371</v>
      </c>
      <c r="E74" t="s">
        <v>142</v>
      </c>
      <c r="F74" t="s">
        <v>632</v>
      </c>
      <c r="G74" t="s">
        <v>643</v>
      </c>
      <c r="H74" t="s">
        <v>634</v>
      </c>
      <c r="I74">
        <v>-40</v>
      </c>
      <c r="J74" s="2">
        <f>_xlfn.XLOOKUP(A74, table_s3_events!A:A, table_s3_events!J:J)</f>
        <v>100000</v>
      </c>
      <c r="K74" s="7">
        <f t="shared" si="6"/>
        <v>-4</v>
      </c>
      <c r="L74" s="7">
        <f t="shared" si="7"/>
        <v>-400</v>
      </c>
      <c r="Z74" s="8"/>
    </row>
    <row r="75" spans="1:26" x14ac:dyDescent="0.35">
      <c r="A75" t="str">
        <f>_xlfn.XLOOKUP($B75, table_s3_events!$B:$B, table_s3_events!$A:$A)</f>
        <v>Frasnian-Famenian (Late Devonian)</v>
      </c>
      <c r="B75" t="s">
        <v>571</v>
      </c>
      <c r="C75" t="str">
        <f>_xlfn.XLOOKUP($B75, table_s3_events!$B:$B, table_s3_events!$E:$E)</f>
        <v>transient</v>
      </c>
      <c r="D75" s="5">
        <f>_xlfn.XLOOKUP($B75, table_s3_events!$B:$B, table_s3_events!$G:$G)</f>
        <v>371</v>
      </c>
      <c r="E75" t="s">
        <v>18</v>
      </c>
      <c r="F75" t="s">
        <v>632</v>
      </c>
      <c r="G75" t="s">
        <v>643</v>
      </c>
      <c r="H75" t="s">
        <v>634</v>
      </c>
      <c r="I75">
        <v>-35</v>
      </c>
      <c r="J75" s="2">
        <f>_xlfn.XLOOKUP(A75, table_s3_events!A:A, table_s3_events!J:J)</f>
        <v>100000</v>
      </c>
      <c r="K75" s="7">
        <f t="shared" si="6"/>
        <v>-3.5</v>
      </c>
      <c r="L75" s="7">
        <f t="shared" si="7"/>
        <v>-350</v>
      </c>
      <c r="Y75" s="8"/>
      <c r="Z75" s="8"/>
    </row>
    <row r="76" spans="1:26" x14ac:dyDescent="0.35">
      <c r="A76" t="str">
        <f>_xlfn.XLOOKUP($B76, table_s3_events!$B:$B, table_s3_events!$A:$A)</f>
        <v>Frasnian-Famenian (Late Devonian)</v>
      </c>
      <c r="B76" t="s">
        <v>571</v>
      </c>
      <c r="C76" t="str">
        <f>_xlfn.XLOOKUP($B76, table_s3_events!$B:$B, table_s3_events!$E:$E)</f>
        <v>transient</v>
      </c>
      <c r="D76" s="5">
        <f>_xlfn.XLOOKUP($B76, table_s3_events!$B:$B, table_s3_events!$G:$G)</f>
        <v>371</v>
      </c>
      <c r="E76" t="s">
        <v>202</v>
      </c>
      <c r="F76" t="s">
        <v>632</v>
      </c>
      <c r="G76" t="s">
        <v>643</v>
      </c>
      <c r="H76" t="s">
        <v>634</v>
      </c>
      <c r="I76">
        <v>-18</v>
      </c>
      <c r="J76" s="2">
        <f>_xlfn.XLOOKUP(A76, table_s3_events!A:A, table_s3_events!J:J)</f>
        <v>100000</v>
      </c>
      <c r="K76" s="7">
        <f t="shared" si="6"/>
        <v>-1.8</v>
      </c>
      <c r="L76" s="7">
        <f t="shared" si="7"/>
        <v>-180</v>
      </c>
    </row>
    <row r="77" spans="1:26" x14ac:dyDescent="0.35">
      <c r="A77" t="str">
        <f>_xlfn.XLOOKUP($B77, table_s3_events!$B:$B, table_s3_events!$A:$A)</f>
        <v>Taghanic Event (Giventian, Middle Devonian)</v>
      </c>
      <c r="B77" t="s">
        <v>573</v>
      </c>
      <c r="C77" t="str">
        <f>_xlfn.XLOOKUP($B77, table_s3_events!$B:$B, table_s3_events!$E:$E)</f>
        <v>transient</v>
      </c>
      <c r="D77" s="5">
        <f>_xlfn.XLOOKUP($B77, table_s3_events!$B:$B, table_s3_events!$G:$G)</f>
        <v>381</v>
      </c>
      <c r="E77" t="s">
        <v>142</v>
      </c>
      <c r="F77" t="s">
        <v>632</v>
      </c>
      <c r="G77" t="s">
        <v>643</v>
      </c>
      <c r="H77" t="s">
        <v>634</v>
      </c>
      <c r="I77">
        <v>-36</v>
      </c>
      <c r="J77" s="2">
        <f>_xlfn.XLOOKUP(A77, table_s3_events!A:A, table_s3_events!J:J)</f>
        <v>1500000</v>
      </c>
      <c r="K77" s="7">
        <f t="shared" si="6"/>
        <v>-0.24</v>
      </c>
      <c r="L77" s="7">
        <f t="shared" si="7"/>
        <v>-24</v>
      </c>
    </row>
    <row r="78" spans="1:26" x14ac:dyDescent="0.35">
      <c r="A78" t="str">
        <f>_xlfn.XLOOKUP($B78, table_s3_events!$B:$B, table_s3_events!$A:$A)</f>
        <v>Taghanic Event (Giventian, Middle Devonian)</v>
      </c>
      <c r="B78" t="s">
        <v>573</v>
      </c>
      <c r="C78" t="str">
        <f>_xlfn.XLOOKUP($B78, table_s3_events!$B:$B, table_s3_events!$E:$E)</f>
        <v>transient</v>
      </c>
      <c r="D78" s="5">
        <f>_xlfn.XLOOKUP($B78, table_s3_events!$B:$B, table_s3_events!$G:$G)</f>
        <v>381</v>
      </c>
      <c r="E78" t="s">
        <v>18</v>
      </c>
      <c r="F78" t="s">
        <v>632</v>
      </c>
      <c r="G78" t="s">
        <v>643</v>
      </c>
      <c r="H78" t="s">
        <v>634</v>
      </c>
      <c r="I78">
        <v>-29</v>
      </c>
      <c r="J78" s="2">
        <f>_xlfn.XLOOKUP(A78, table_s3_events!A:A, table_s3_events!J:J)</f>
        <v>1500000</v>
      </c>
      <c r="K78" s="7">
        <f t="shared" si="6"/>
        <v>-0.19333333333333333</v>
      </c>
      <c r="L78" s="7">
        <f t="shared" si="7"/>
        <v>-19.333333333333332</v>
      </c>
    </row>
    <row r="79" spans="1:26" x14ac:dyDescent="0.35">
      <c r="A79" t="str">
        <f>_xlfn.XLOOKUP($B79, table_s3_events!$B:$B, table_s3_events!$A:$A)</f>
        <v>Kačák Event (Eifelian, Middle Devonian)</v>
      </c>
      <c r="B79" t="s">
        <v>576</v>
      </c>
      <c r="C79" t="str">
        <f>_xlfn.XLOOKUP($B79, table_s3_events!$B:$B, table_s3_events!$E:$E)</f>
        <v>transient</v>
      </c>
      <c r="D79" s="5">
        <f>_xlfn.XLOOKUP($B79, table_s3_events!$B:$B, table_s3_events!$G:$G)</f>
        <v>386</v>
      </c>
      <c r="E79" t="s">
        <v>142</v>
      </c>
      <c r="F79" t="s">
        <v>632</v>
      </c>
      <c r="G79" t="s">
        <v>643</v>
      </c>
      <c r="H79" t="s">
        <v>634</v>
      </c>
      <c r="I79">
        <v>-32</v>
      </c>
      <c r="J79" s="2">
        <f>_xlfn.XLOOKUP(A79, table_s3_events!A:A, table_s3_events!J:J)</f>
        <v>100000</v>
      </c>
      <c r="K79" s="7">
        <f t="shared" si="6"/>
        <v>-3.2</v>
      </c>
      <c r="L79" s="7">
        <f t="shared" si="7"/>
        <v>-320</v>
      </c>
    </row>
    <row r="80" spans="1:26" x14ac:dyDescent="0.35">
      <c r="A80" t="str">
        <f>_xlfn.XLOOKUP($B80, table_s3_events!$B:$B, table_s3_events!$A:$A)</f>
        <v>Lau Event (Ludfordian, Ludlow, Silurian)</v>
      </c>
      <c r="B80" t="s">
        <v>579</v>
      </c>
      <c r="C80" t="str">
        <f>_xlfn.XLOOKUP($B80, table_s3_events!$B:$B, table_s3_events!$E:$E)</f>
        <v>transient</v>
      </c>
      <c r="D80" s="5">
        <f>_xlfn.XLOOKUP($B80, table_s3_events!$B:$B, table_s3_events!$G:$G)</f>
        <v>423.5</v>
      </c>
      <c r="E80" t="s">
        <v>34</v>
      </c>
      <c r="F80" t="s">
        <v>632</v>
      </c>
      <c r="G80" t="s">
        <v>643</v>
      </c>
      <c r="H80" t="s">
        <v>634</v>
      </c>
      <c r="I80">
        <v>-21</v>
      </c>
      <c r="J80" s="2">
        <f>_xlfn.XLOOKUP(A80, table_s3_events!A:A, table_s3_events!J:J)</f>
        <v>500000</v>
      </c>
      <c r="K80" s="7">
        <f t="shared" si="6"/>
        <v>-0.42</v>
      </c>
      <c r="L80" s="7">
        <f t="shared" si="7"/>
        <v>-42</v>
      </c>
    </row>
    <row r="81" spans="1:13" x14ac:dyDescent="0.35">
      <c r="A81" t="str">
        <f>_xlfn.XLOOKUP($B81, table_s3_events!$B:$B, table_s3_events!$A:$A)</f>
        <v>Lau Event (Ludfordian, Ludlow, Silurian)</v>
      </c>
      <c r="B81" t="s">
        <v>579</v>
      </c>
      <c r="C81" t="str">
        <f>_xlfn.XLOOKUP($B81, table_s3_events!$B:$B, table_s3_events!$E:$E)</f>
        <v>transient</v>
      </c>
      <c r="D81" s="5">
        <f>_xlfn.XLOOKUP($B81, table_s3_events!$B:$B, table_s3_events!$G:$G)</f>
        <v>423.5</v>
      </c>
      <c r="E81" t="s">
        <v>142</v>
      </c>
      <c r="F81" t="s">
        <v>632</v>
      </c>
      <c r="G81" t="s">
        <v>643</v>
      </c>
      <c r="H81" t="s">
        <v>634</v>
      </c>
      <c r="I81">
        <v>-9</v>
      </c>
      <c r="J81" s="2">
        <f>_xlfn.XLOOKUP(A81, table_s3_events!A:A, table_s3_events!J:J)</f>
        <v>500000</v>
      </c>
      <c r="K81" s="7">
        <f t="shared" si="6"/>
        <v>-0.18</v>
      </c>
      <c r="L81" s="7">
        <f t="shared" si="7"/>
        <v>-18</v>
      </c>
    </row>
    <row r="82" spans="1:13" x14ac:dyDescent="0.35">
      <c r="A82" t="str">
        <f>_xlfn.XLOOKUP($B82, table_s3_events!$B:$B, table_s3_events!$A:$A)</f>
        <v>Mulde Event (Homerian, Wenlock, Silurian)</v>
      </c>
      <c r="B82" t="s">
        <v>582</v>
      </c>
      <c r="C82" t="str">
        <f>_xlfn.XLOOKUP($B82, table_s3_events!$B:$B, table_s3_events!$E:$E)</f>
        <v>transient</v>
      </c>
      <c r="D82" s="5">
        <f>_xlfn.XLOOKUP($B82, table_s3_events!$B:$B, table_s3_events!$G:$G)</f>
        <v>428</v>
      </c>
      <c r="E82" t="s">
        <v>34</v>
      </c>
      <c r="F82" t="s">
        <v>632</v>
      </c>
      <c r="G82" t="s">
        <v>643</v>
      </c>
      <c r="H82" t="s">
        <v>634</v>
      </c>
      <c r="I82">
        <v>-25</v>
      </c>
      <c r="J82" s="2">
        <f>_xlfn.XLOOKUP(A82, table_s3_events!A:A, table_s3_events!J:J)</f>
        <v>1000000</v>
      </c>
      <c r="K82" s="7">
        <f t="shared" si="6"/>
        <v>-0.25</v>
      </c>
      <c r="L82" s="7">
        <f t="shared" si="7"/>
        <v>-25</v>
      </c>
    </row>
    <row r="83" spans="1:13" x14ac:dyDescent="0.35">
      <c r="A83" t="str">
        <f>_xlfn.XLOOKUP($B83, table_s3_events!$B:$B, table_s3_events!$A:$A)</f>
        <v>Ireviken Event (Sheinwoodian, Wenlock, Silurian)</v>
      </c>
      <c r="B83" t="s">
        <v>585</v>
      </c>
      <c r="C83" t="str">
        <f>_xlfn.XLOOKUP($B83, table_s3_events!$B:$B, table_s3_events!$E:$E)</f>
        <v>transient</v>
      </c>
      <c r="D83" s="5">
        <f>_xlfn.XLOOKUP($B83, table_s3_events!$B:$B, table_s3_events!$G:$G)</f>
        <v>433</v>
      </c>
      <c r="E83" t="s">
        <v>34</v>
      </c>
      <c r="F83" t="s">
        <v>632</v>
      </c>
      <c r="G83" t="s">
        <v>643</v>
      </c>
      <c r="H83" t="s">
        <v>634</v>
      </c>
      <c r="I83">
        <v>-22</v>
      </c>
      <c r="J83" s="2">
        <f>_xlfn.XLOOKUP(A83, table_s3_events!A:A, table_s3_events!J:J)</f>
        <v>1000000</v>
      </c>
      <c r="K83" s="7">
        <f t="shared" si="6"/>
        <v>-0.22</v>
      </c>
      <c r="L83" s="7">
        <f t="shared" si="7"/>
        <v>-22</v>
      </c>
    </row>
    <row r="84" spans="1:13" x14ac:dyDescent="0.35">
      <c r="A84" t="str">
        <f>_xlfn.XLOOKUP($B84, table_s3_events!$B:$B, table_s3_events!$A:$A)</f>
        <v>Late Ordovician Mass Extinction</v>
      </c>
      <c r="B84" t="s">
        <v>588</v>
      </c>
      <c r="C84" t="s">
        <v>525</v>
      </c>
      <c r="D84" s="5">
        <f>_xlfn.XLOOKUP($B84, table_s3_events!$B:$B, table_s3_events!$G:$G)</f>
        <v>445</v>
      </c>
      <c r="E84" t="s">
        <v>192</v>
      </c>
      <c r="F84" t="s">
        <v>637</v>
      </c>
      <c r="G84" t="s">
        <v>643</v>
      </c>
      <c r="H84" t="s">
        <v>634</v>
      </c>
      <c r="I84">
        <v>-85</v>
      </c>
      <c r="J84" s="2">
        <f>_xlfn.XLOOKUP(A84, table_s3_events!A:A, table_s3_events!J:J)</f>
        <v>500000</v>
      </c>
      <c r="K84" s="7">
        <f t="shared" si="6"/>
        <v>-1.7</v>
      </c>
      <c r="L84" s="7">
        <f t="shared" si="7"/>
        <v>-170</v>
      </c>
    </row>
    <row r="85" spans="1:13" x14ac:dyDescent="0.35">
      <c r="A85" t="str">
        <f>_xlfn.XLOOKUP($B85, table_s3_events!$B:$B, table_s3_events!$A:$A)</f>
        <v>Late Ordovician Mass Extinction</v>
      </c>
      <c r="B85" t="s">
        <v>588</v>
      </c>
      <c r="C85" t="s">
        <v>525</v>
      </c>
      <c r="D85" s="5">
        <f>_xlfn.XLOOKUP($B85, table_s3_events!$B:$B, table_s3_events!$G:$G)</f>
        <v>445</v>
      </c>
      <c r="E85" t="s">
        <v>192</v>
      </c>
      <c r="F85" t="s">
        <v>632</v>
      </c>
      <c r="G85" t="s">
        <v>643</v>
      </c>
      <c r="H85" t="s">
        <v>634</v>
      </c>
      <c r="I85">
        <v>-49</v>
      </c>
      <c r="J85" s="2">
        <f>_xlfn.XLOOKUP(A85, table_s3_events!A:A, table_s3_events!J:J)</f>
        <v>500000</v>
      </c>
      <c r="K85" s="7">
        <f t="shared" si="6"/>
        <v>-0.98</v>
      </c>
      <c r="L85" s="7">
        <f t="shared" si="7"/>
        <v>-98</v>
      </c>
    </row>
    <row r="86" spans="1:13" x14ac:dyDescent="0.35">
      <c r="A86" t="str">
        <f>_xlfn.XLOOKUP($B86, table_s3_events!$B:$B, table_s3_events!$A:$A)</f>
        <v>Late Ordovician Mass Extinction</v>
      </c>
      <c r="B86" t="s">
        <v>588</v>
      </c>
      <c r="C86" t="str">
        <f>_xlfn.XLOOKUP($B86, table_s3_events!$B:$B, table_s3_events!$E:$E)</f>
        <v>transient</v>
      </c>
      <c r="D86" s="5">
        <f>_xlfn.XLOOKUP($B86, table_s3_events!$B:$B, table_s3_events!$G:$G)</f>
        <v>445</v>
      </c>
      <c r="E86" t="s">
        <v>18</v>
      </c>
      <c r="F86" t="s">
        <v>632</v>
      </c>
      <c r="G86" t="s">
        <v>643</v>
      </c>
      <c r="H86" t="s">
        <v>634</v>
      </c>
      <c r="I86">
        <v>-57</v>
      </c>
      <c r="J86" s="2">
        <f>_xlfn.XLOOKUP(A86, table_s3_events!A:A, table_s3_events!J:J)</f>
        <v>500000</v>
      </c>
      <c r="K86" s="7">
        <f t="shared" si="6"/>
        <v>-1.1399999999999999</v>
      </c>
      <c r="L86" s="7">
        <f t="shared" si="7"/>
        <v>-114</v>
      </c>
    </row>
    <row r="87" spans="1:13" x14ac:dyDescent="0.35">
      <c r="A87" t="str">
        <f>_xlfn.XLOOKUP($B87, table_s3_events!$B:$B, table_s3_events!$A:$A)</f>
        <v>Late Ordovician Mass Extinction</v>
      </c>
      <c r="B87" t="s">
        <v>588</v>
      </c>
      <c r="C87" t="str">
        <f>_xlfn.XLOOKUP($B87, table_s3_events!$B:$B, table_s3_events!$E:$E)</f>
        <v>transient</v>
      </c>
      <c r="D87" s="5">
        <f>_xlfn.XLOOKUP($B87, table_s3_events!$B:$B, table_s3_events!$G:$G)</f>
        <v>445</v>
      </c>
      <c r="E87" t="s">
        <v>142</v>
      </c>
      <c r="F87" t="s">
        <v>632</v>
      </c>
      <c r="G87" t="s">
        <v>643</v>
      </c>
      <c r="H87" t="s">
        <v>634</v>
      </c>
      <c r="I87">
        <v>-52</v>
      </c>
      <c r="J87" s="2">
        <f>_xlfn.XLOOKUP(A87, table_s3_events!A:A, table_s3_events!J:J)</f>
        <v>500000</v>
      </c>
      <c r="K87" s="7">
        <f t="shared" si="6"/>
        <v>-1.04</v>
      </c>
      <c r="L87" s="7">
        <f t="shared" si="7"/>
        <v>-104</v>
      </c>
    </row>
    <row r="88" spans="1:13" x14ac:dyDescent="0.35">
      <c r="A88" t="str">
        <f>_xlfn.XLOOKUP($B88, table_s3_events!$B:$B, table_s3_events!$A:$A)</f>
        <v>Late Ordovician Mass Extinction</v>
      </c>
      <c r="B88" t="s">
        <v>588</v>
      </c>
      <c r="C88" t="str">
        <f>_xlfn.XLOOKUP($B88, table_s3_events!$B:$B, table_s3_events!$E:$E)</f>
        <v>transient</v>
      </c>
      <c r="D88" s="5">
        <f>_xlfn.XLOOKUP($B88, table_s3_events!$B:$B, table_s3_events!$G:$G)</f>
        <v>445</v>
      </c>
      <c r="E88" t="s">
        <v>202</v>
      </c>
      <c r="F88" t="s">
        <v>632</v>
      </c>
      <c r="G88" t="s">
        <v>643</v>
      </c>
      <c r="H88" t="s">
        <v>634</v>
      </c>
      <c r="I88">
        <v>-46</v>
      </c>
      <c r="J88" s="2">
        <f>_xlfn.XLOOKUP(A88, table_s3_events!A:A, table_s3_events!J:J)</f>
        <v>500000</v>
      </c>
      <c r="K88" s="7">
        <f t="shared" si="6"/>
        <v>-0.92</v>
      </c>
      <c r="L88" s="7">
        <f t="shared" si="7"/>
        <v>-92</v>
      </c>
    </row>
    <row r="89" spans="1:13" x14ac:dyDescent="0.35">
      <c r="A89" t="str">
        <f>_xlfn.XLOOKUP($B89, table_s3_events!$B:$B, table_s3_events!$A:$A)</f>
        <v>Land plant evolution</v>
      </c>
      <c r="B89" t="s">
        <v>591</v>
      </c>
      <c r="C89" t="str">
        <f>_xlfn.XLOOKUP($B89, table_s3_events!$B:$B, table_s3_events!$E:$E)</f>
        <v>persistent</v>
      </c>
      <c r="D89" s="5">
        <f>_xlfn.XLOOKUP($B89, table_s3_events!$B:$B, table_s3_events!$G:$G)</f>
        <v>475</v>
      </c>
      <c r="E89" t="s">
        <v>132</v>
      </c>
      <c r="F89" t="s">
        <v>650</v>
      </c>
      <c r="G89" t="s">
        <v>633</v>
      </c>
      <c r="H89" t="s">
        <v>634</v>
      </c>
      <c r="I89">
        <v>35</v>
      </c>
      <c r="J89" s="2">
        <f>_xlfn.XLOOKUP(A89, table_s3_events!A:A, table_s3_events!J:J)</f>
        <v>60000000</v>
      </c>
      <c r="K89" s="7" t="str">
        <f t="shared" si="6"/>
        <v>NA</v>
      </c>
      <c r="L89" s="7">
        <f t="shared" si="7"/>
        <v>0.58333333333333337</v>
      </c>
      <c r="M89" t="s">
        <v>692</v>
      </c>
    </row>
    <row r="90" spans="1:13" x14ac:dyDescent="0.35">
      <c r="A90" t="str">
        <f>_xlfn.XLOOKUP($B90, table_s3_events!$B:$B, table_s3_events!$A:$A)</f>
        <v>Land plant evolution</v>
      </c>
      <c r="B90" t="s">
        <v>591</v>
      </c>
      <c r="C90" t="str">
        <f>_xlfn.XLOOKUP($B90, table_s3_events!$B:$B, table_s3_events!$E:$E)</f>
        <v>persistent</v>
      </c>
      <c r="D90" s="5">
        <f>_xlfn.XLOOKUP($B90, table_s3_events!$B:$B, table_s3_events!$G:$G)</f>
        <v>475</v>
      </c>
      <c r="E90" t="s">
        <v>132</v>
      </c>
      <c r="F90" t="s">
        <v>650</v>
      </c>
      <c r="G90" t="s">
        <v>633</v>
      </c>
      <c r="H90" t="s">
        <v>634</v>
      </c>
      <c r="I90">
        <v>80</v>
      </c>
      <c r="J90" s="2">
        <f>_xlfn.XLOOKUP(A90, table_s3_events!A:A, table_s3_events!J:J)</f>
        <v>60000000</v>
      </c>
      <c r="K90" s="7" t="str">
        <f t="shared" si="6"/>
        <v>NA</v>
      </c>
      <c r="L90" s="7">
        <f t="shared" si="7"/>
        <v>1.3333333333333333</v>
      </c>
      <c r="M90" t="s">
        <v>692</v>
      </c>
    </row>
    <row r="91" spans="1:13" x14ac:dyDescent="0.35">
      <c r="A91" t="str">
        <f>_xlfn.XLOOKUP($B91, table_s3_events!$B:$B, table_s3_events!$A:$A)</f>
        <v>Land plant evolution</v>
      </c>
      <c r="B91" t="s">
        <v>591</v>
      </c>
      <c r="C91" t="str">
        <f>_xlfn.XLOOKUP($B91, table_s3_events!$B:$B, table_s3_events!$E:$E)</f>
        <v>persistent</v>
      </c>
      <c r="D91" s="5">
        <f>_xlfn.XLOOKUP($B91, table_s3_events!$B:$B, table_s3_events!$G:$G)</f>
        <v>475</v>
      </c>
      <c r="E91" t="s">
        <v>62</v>
      </c>
      <c r="F91" t="s">
        <v>650</v>
      </c>
      <c r="G91" t="s">
        <v>633</v>
      </c>
      <c r="H91" t="s">
        <v>634</v>
      </c>
      <c r="I91">
        <v>147</v>
      </c>
      <c r="J91" s="2">
        <f>_xlfn.XLOOKUP(A91, table_s3_events!A:A, table_s3_events!J:J)</f>
        <v>60000000</v>
      </c>
      <c r="K91" s="7" t="str">
        <f t="shared" si="6"/>
        <v>NA</v>
      </c>
      <c r="L91" s="7">
        <f t="shared" si="7"/>
        <v>2.4500000000000002</v>
      </c>
      <c r="M91" t="s">
        <v>693</v>
      </c>
    </row>
    <row r="92" spans="1:13" x14ac:dyDescent="0.35">
      <c r="A92" t="str">
        <f>_xlfn.XLOOKUP($B92, table_s3_events!$B:$B, table_s3_events!$A:$A)</f>
        <v>Land plant evolution</v>
      </c>
      <c r="B92" t="s">
        <v>591</v>
      </c>
      <c r="C92" t="str">
        <f>_xlfn.XLOOKUP($B92, table_s3_events!$B:$B, table_s3_events!$E:$E)</f>
        <v>persistent</v>
      </c>
      <c r="D92" s="5">
        <f>_xlfn.XLOOKUP($B92, table_s3_events!$B:$B, table_s3_events!$G:$G)</f>
        <v>475</v>
      </c>
      <c r="E92" t="s">
        <v>24</v>
      </c>
      <c r="F92" t="s">
        <v>646</v>
      </c>
      <c r="G92" t="s">
        <v>633</v>
      </c>
      <c r="H92" t="s">
        <v>634</v>
      </c>
      <c r="I92">
        <v>900</v>
      </c>
      <c r="J92" s="2">
        <f>_xlfn.XLOOKUP(A92, table_s3_events!A:A, table_s3_events!J:J)</f>
        <v>60000000</v>
      </c>
      <c r="K92" s="7" t="str">
        <f t="shared" si="6"/>
        <v>NA</v>
      </c>
      <c r="L92" s="7">
        <f t="shared" si="7"/>
        <v>15</v>
      </c>
      <c r="M92" t="s">
        <v>694</v>
      </c>
    </row>
    <row r="93" spans="1:13" x14ac:dyDescent="0.35">
      <c r="A93" t="str">
        <f>_xlfn.XLOOKUP($B93, table_s3_events!$B:$B, table_s3_events!$A:$A)</f>
        <v>Land plant evolution</v>
      </c>
      <c r="B93" t="s">
        <v>591</v>
      </c>
      <c r="C93" t="str">
        <f>_xlfn.XLOOKUP($B93, table_s3_events!$B:$B, table_s3_events!$E:$E)</f>
        <v>persistent</v>
      </c>
      <c r="D93" s="5">
        <f>_xlfn.XLOOKUP($B93, table_s3_events!$B:$B, table_s3_events!$G:$G)</f>
        <v>475</v>
      </c>
      <c r="E93" t="s">
        <v>52</v>
      </c>
      <c r="F93" t="s">
        <v>632</v>
      </c>
      <c r="G93" t="s">
        <v>633</v>
      </c>
      <c r="H93" t="s">
        <v>634</v>
      </c>
      <c r="I93">
        <v>12000</v>
      </c>
      <c r="J93" s="2">
        <f>_xlfn.XLOOKUP(A93, table_s3_events!A:A, table_s3_events!J:J)</f>
        <v>60000000</v>
      </c>
      <c r="K93" s="7">
        <f t="shared" si="6"/>
        <v>2</v>
      </c>
      <c r="L93" s="7">
        <f t="shared" si="7"/>
        <v>200</v>
      </c>
      <c r="M93" t="s">
        <v>695</v>
      </c>
    </row>
    <row r="94" spans="1:13" x14ac:dyDescent="0.35">
      <c r="A94" t="str">
        <f>_xlfn.XLOOKUP($B94, table_s3_events!$B:$B, table_s3_events!$A:$A)</f>
        <v>Land plant evolution</v>
      </c>
      <c r="B94" t="s">
        <v>591</v>
      </c>
      <c r="C94" t="str">
        <f>_xlfn.XLOOKUP($B94, table_s3_events!$B:$B, table_s3_events!$E:$E)</f>
        <v>persistent</v>
      </c>
      <c r="D94" s="5">
        <f>_xlfn.XLOOKUP($B94, table_s3_events!$B:$B, table_s3_events!$G:$G)</f>
        <v>475</v>
      </c>
      <c r="E94" t="s">
        <v>54</v>
      </c>
      <c r="F94" t="s">
        <v>637</v>
      </c>
      <c r="G94" t="s">
        <v>633</v>
      </c>
      <c r="H94" t="s">
        <v>634</v>
      </c>
      <c r="I94">
        <v>18000</v>
      </c>
      <c r="J94" s="2">
        <f>_xlfn.XLOOKUP(A94, table_s3_events!A:A, table_s3_events!J:J)</f>
        <v>60000000</v>
      </c>
      <c r="K94" s="7">
        <f t="shared" si="6"/>
        <v>3</v>
      </c>
      <c r="L94" s="7">
        <f t="shared" si="7"/>
        <v>300</v>
      </c>
      <c r="M94" t="s">
        <v>696</v>
      </c>
    </row>
    <row r="95" spans="1:13" x14ac:dyDescent="0.35">
      <c r="A95" t="str">
        <f>_xlfn.XLOOKUP($B95, table_s3_events!$B:$B, table_s3_events!$A:$A)</f>
        <v>Great Ordovician Biodiversification Event</v>
      </c>
      <c r="B95" t="s">
        <v>594</v>
      </c>
      <c r="C95" t="s">
        <v>543</v>
      </c>
      <c r="D95" s="5">
        <f>_xlfn.XLOOKUP($B95, table_s3_events!$B:$B, table_s3_events!$G:$G)</f>
        <v>490</v>
      </c>
      <c r="E95" t="s">
        <v>96</v>
      </c>
      <c r="F95" t="s">
        <v>632</v>
      </c>
      <c r="G95" t="s">
        <v>643</v>
      </c>
      <c r="H95" t="s">
        <v>634</v>
      </c>
      <c r="I95">
        <v>800</v>
      </c>
      <c r="J95" s="2">
        <f>_xlfn.XLOOKUP(A95, table_s3_events!A:A, table_s3_events!J:J)</f>
        <v>30000000</v>
      </c>
      <c r="K95" s="7">
        <f t="shared" si="6"/>
        <v>0.26666666666666666</v>
      </c>
      <c r="L95" s="7">
        <f t="shared" si="7"/>
        <v>26.666666666666668</v>
      </c>
      <c r="M95" t="s">
        <v>697</v>
      </c>
    </row>
    <row r="96" spans="1:13" x14ac:dyDescent="0.35">
      <c r="A96" t="str">
        <f>_xlfn.XLOOKUP($B96, table_s3_events!$B:$B, table_s3_events!$A:$A)</f>
        <v>Steptoean Positive Carbon Isotope Excursion (SPICE) / End-Marjuman Biomere Extinction (EMBE; Paibian, Cambrian)</v>
      </c>
      <c r="B96" t="s">
        <v>597</v>
      </c>
      <c r="C96" t="str">
        <f>_xlfn.XLOOKUP($B96, table_s3_events!$B:$B, table_s3_events!$E:$E)</f>
        <v>transient</v>
      </c>
      <c r="D96" s="5">
        <f>_xlfn.XLOOKUP($B96, table_s3_events!$B:$B, table_s3_events!$G:$G)</f>
        <v>495</v>
      </c>
      <c r="E96" t="s">
        <v>18</v>
      </c>
      <c r="F96" t="s">
        <v>632</v>
      </c>
      <c r="G96" t="s">
        <v>643</v>
      </c>
      <c r="H96" t="s">
        <v>634</v>
      </c>
      <c r="I96">
        <v>-65</v>
      </c>
      <c r="J96" s="2">
        <f>_xlfn.XLOOKUP(A96, table_s3_events!A:A, table_s3_events!J:J)</f>
        <v>2600000</v>
      </c>
      <c r="K96" s="7">
        <f t="shared" si="6"/>
        <v>-0.25</v>
      </c>
      <c r="L96" s="7">
        <f t="shared" si="7"/>
        <v>-25</v>
      </c>
    </row>
    <row r="97" spans="1:13" x14ac:dyDescent="0.35">
      <c r="A97" t="str">
        <f>_xlfn.XLOOKUP($B97, table_s3_events!$B:$B, table_s3_events!$A:$A)</f>
        <v>Steptoean Positive Carbon Isotope Excursion (SPICE) / End-Marjuman Biomere Extinction (EMBE; Paibian, Cambrian)</v>
      </c>
      <c r="B97" t="s">
        <v>597</v>
      </c>
      <c r="C97" t="str">
        <f>_xlfn.XLOOKUP($B97, table_s3_events!$B:$B, table_s3_events!$E:$E)</f>
        <v>transient</v>
      </c>
      <c r="D97" s="5">
        <f>_xlfn.XLOOKUP($B97, table_s3_events!$B:$B, table_s3_events!$G:$G)</f>
        <v>495</v>
      </c>
      <c r="E97" t="s">
        <v>34</v>
      </c>
      <c r="F97" t="s">
        <v>632</v>
      </c>
      <c r="G97" t="s">
        <v>643</v>
      </c>
      <c r="H97" t="s">
        <v>634</v>
      </c>
      <c r="I97">
        <v>-60</v>
      </c>
      <c r="J97" s="2">
        <f>_xlfn.XLOOKUP(A97, table_s3_events!A:A, table_s3_events!J:J)</f>
        <v>2600000</v>
      </c>
      <c r="K97" s="7">
        <f t="shared" si="6"/>
        <v>-0.23076923076923078</v>
      </c>
      <c r="L97" s="7">
        <f t="shared" si="7"/>
        <v>-23.076923076923077</v>
      </c>
      <c r="M97" t="s">
        <v>698</v>
      </c>
    </row>
    <row r="98" spans="1:13" x14ac:dyDescent="0.35">
      <c r="A98" t="str">
        <f>_xlfn.XLOOKUP($B98, table_s3_events!$B:$B, table_s3_events!$A:$A)</f>
        <v>Steptoean Positive Carbon Isotope Excursion (SPICE) / End-Marjuman Biomere Extinction (EMBE; Paibian, Cambrian)</v>
      </c>
      <c r="B98" t="s">
        <v>597</v>
      </c>
      <c r="C98" t="str">
        <f>_xlfn.XLOOKUP($B98, table_s3_events!$B:$B, table_s3_events!$E:$E)</f>
        <v>transient</v>
      </c>
      <c r="D98" s="5">
        <f>_xlfn.XLOOKUP($B98, table_s3_events!$B:$B, table_s3_events!$G:$G)</f>
        <v>495</v>
      </c>
      <c r="E98" t="s">
        <v>18</v>
      </c>
      <c r="F98" t="s">
        <v>632</v>
      </c>
      <c r="G98" t="s">
        <v>643</v>
      </c>
      <c r="H98" t="s">
        <v>634</v>
      </c>
      <c r="I98">
        <v>-59</v>
      </c>
      <c r="J98" s="2">
        <f>_xlfn.XLOOKUP(A98, table_s3_events!A:A, table_s3_events!J:J)</f>
        <v>2600000</v>
      </c>
      <c r="K98" s="7">
        <f t="shared" si="6"/>
        <v>-0.22692307692307692</v>
      </c>
      <c r="L98" s="7">
        <f t="shared" si="7"/>
        <v>-22.69230769230769</v>
      </c>
    </row>
    <row r="99" spans="1:13" x14ac:dyDescent="0.35">
      <c r="A99" t="str">
        <f>_xlfn.XLOOKUP($B99, table_s3_events!$B:$B, table_s3_events!$A:$A)</f>
        <v>Steptoean Positive Carbon Isotope Excursion (SPICE) / End-Marjuman Biomere Extinction (EMBE; Paibian, Cambrian)</v>
      </c>
      <c r="B99" t="s">
        <v>597</v>
      </c>
      <c r="C99" t="str">
        <f>_xlfn.XLOOKUP($B99, table_s3_events!$B:$B, table_s3_events!$E:$E)</f>
        <v>transient</v>
      </c>
      <c r="D99" s="5">
        <f>_xlfn.XLOOKUP($B99, table_s3_events!$B:$B, table_s3_events!$G:$G)</f>
        <v>495</v>
      </c>
      <c r="E99" t="s">
        <v>18</v>
      </c>
      <c r="F99" t="s">
        <v>632</v>
      </c>
      <c r="G99" t="s">
        <v>643</v>
      </c>
      <c r="H99" t="s">
        <v>634</v>
      </c>
      <c r="I99">
        <v>-58</v>
      </c>
      <c r="J99" s="2">
        <f>_xlfn.XLOOKUP(A99, table_s3_events!A:A, table_s3_events!J:J)</f>
        <v>2600000</v>
      </c>
      <c r="K99" s="7">
        <f t="shared" ref="K99:K108" si="8">IF(OR(F99="species", F99="genus"), (I99*10^4)/J99,"NA")</f>
        <v>-0.22307692307692309</v>
      </c>
      <c r="L99" s="7">
        <f t="shared" ref="L99:L108" si="9">IF(H99="percent", I99/(J99/10^6), "NA")</f>
        <v>-22.307692307692307</v>
      </c>
    </row>
    <row r="100" spans="1:13" x14ac:dyDescent="0.35">
      <c r="A100" t="str">
        <f>_xlfn.XLOOKUP($B100, table_s3_events!$B:$B, table_s3_events!$A:$A)</f>
        <v>Redlichiid-Olenellid trilobite Extinction Carbon isotope Excursion (ROECE; Cambrian Stage 4–Miaolingian boundary)</v>
      </c>
      <c r="B100" t="s">
        <v>601</v>
      </c>
      <c r="C100" t="str">
        <f>_xlfn.XLOOKUP($B100, table_s3_events!$B:$B, table_s3_events!$E:$E)</f>
        <v>transient</v>
      </c>
      <c r="D100" s="5">
        <f>_xlfn.XLOOKUP($B100, table_s3_events!$B:$B, table_s3_events!$G:$G)</f>
        <v>507</v>
      </c>
      <c r="E100" t="s">
        <v>34</v>
      </c>
      <c r="F100" t="s">
        <v>632</v>
      </c>
      <c r="G100" t="s">
        <v>643</v>
      </c>
      <c r="H100" t="s">
        <v>634</v>
      </c>
      <c r="I100">
        <v>-50</v>
      </c>
      <c r="J100" s="2">
        <f>_xlfn.XLOOKUP(A100, table_s3_events!A:A, table_s3_events!J:J)</f>
        <v>500000</v>
      </c>
      <c r="K100" s="7">
        <f t="shared" si="8"/>
        <v>-1</v>
      </c>
      <c r="L100" s="7">
        <f t="shared" si="9"/>
        <v>-100</v>
      </c>
      <c r="M100" t="s">
        <v>699</v>
      </c>
    </row>
    <row r="101" spans="1:13" x14ac:dyDescent="0.35">
      <c r="A101" t="str">
        <f>_xlfn.XLOOKUP($B101, table_s3_events!$B:$B, table_s3_events!$A:$A)</f>
        <v>Sinsk Event / Archaeocyath Extinction Carbon isotope Excursion (AECE; Cambrian Stage 4)</v>
      </c>
      <c r="B101" t="s">
        <v>604</v>
      </c>
      <c r="C101" t="str">
        <f>_xlfn.XLOOKUP($B101, table_s3_events!$B:$B, table_s3_events!$E:$E)</f>
        <v>transient</v>
      </c>
      <c r="D101" s="5">
        <f>_xlfn.XLOOKUP($B101, table_s3_events!$B:$B, table_s3_events!$G:$G)</f>
        <v>513</v>
      </c>
      <c r="E101" t="s">
        <v>34</v>
      </c>
      <c r="F101" t="s">
        <v>632</v>
      </c>
      <c r="G101" t="s">
        <v>643</v>
      </c>
      <c r="H101" t="s">
        <v>634</v>
      </c>
      <c r="I101">
        <v>-50</v>
      </c>
      <c r="J101" s="2">
        <f>_xlfn.XLOOKUP(A101, table_s3_events!A:A, table_s3_events!J:J)</f>
        <v>1000000</v>
      </c>
      <c r="K101" s="7">
        <f t="shared" si="8"/>
        <v>-0.5</v>
      </c>
      <c r="L101" s="7">
        <f t="shared" si="9"/>
        <v>-50</v>
      </c>
      <c r="M101" t="s">
        <v>699</v>
      </c>
    </row>
    <row r="102" spans="1:13" x14ac:dyDescent="0.35">
      <c r="A102" t="str">
        <f>_xlfn.XLOOKUP($B102, table_s3_events!$B:$B, table_s3_events!$A:$A)</f>
        <v>Sinsk Event / Archaeocyath Extinction Carbon isotope Excursion (AECE; Cambrian Stage 4)</v>
      </c>
      <c r="B102" t="s">
        <v>604</v>
      </c>
      <c r="C102" t="str">
        <f>_xlfn.XLOOKUP($B102, table_s3_events!$B:$B, table_s3_events!$E:$E)</f>
        <v>transient</v>
      </c>
      <c r="D102" s="5">
        <f>_xlfn.XLOOKUP($B102, table_s3_events!$B:$B, table_s3_events!$G:$G)</f>
        <v>513</v>
      </c>
      <c r="E102" t="s">
        <v>18</v>
      </c>
      <c r="F102" t="s">
        <v>632</v>
      </c>
      <c r="G102" t="s">
        <v>643</v>
      </c>
      <c r="H102" t="s">
        <v>634</v>
      </c>
      <c r="I102">
        <v>-49</v>
      </c>
      <c r="J102" s="2">
        <f>_xlfn.XLOOKUP(A102, table_s3_events!A:A, table_s3_events!J:J)</f>
        <v>1000000</v>
      </c>
      <c r="K102" s="7">
        <f t="shared" si="8"/>
        <v>-0.49</v>
      </c>
      <c r="L102" s="7">
        <f t="shared" si="9"/>
        <v>-49</v>
      </c>
    </row>
    <row r="103" spans="1:13" x14ac:dyDescent="0.35">
      <c r="A103" t="str">
        <f>_xlfn.XLOOKUP($B103, table_s3_events!$B:$B, table_s3_events!$A:$A)</f>
        <v>Cambrian Agronomic Revolution</v>
      </c>
      <c r="B103" t="s">
        <v>606</v>
      </c>
      <c r="C103" t="str">
        <f>_xlfn.XLOOKUP($B103, table_s3_events!$B:$B, table_s3_events!$E:$E)</f>
        <v>persistent</v>
      </c>
      <c r="D103" s="5">
        <f>_xlfn.XLOOKUP($B103, table_s3_events!$B:$B, table_s3_events!$G:$G)</f>
        <v>545</v>
      </c>
      <c r="E103" t="s">
        <v>62</v>
      </c>
      <c r="F103" t="s">
        <v>650</v>
      </c>
      <c r="G103" t="s">
        <v>633</v>
      </c>
      <c r="H103" t="s">
        <v>634</v>
      </c>
      <c r="I103">
        <v>243</v>
      </c>
      <c r="J103" s="2">
        <f>_xlfn.XLOOKUP(A103, table_s3_events!A:A, table_s3_events!J:J)</f>
        <v>40000000</v>
      </c>
      <c r="K103" s="7" t="str">
        <f t="shared" si="8"/>
        <v>NA</v>
      </c>
      <c r="L103" s="7">
        <f t="shared" si="9"/>
        <v>6.0750000000000002</v>
      </c>
      <c r="M103" t="s">
        <v>700</v>
      </c>
    </row>
    <row r="104" spans="1:13" x14ac:dyDescent="0.35">
      <c r="A104" t="str">
        <f>_xlfn.XLOOKUP($B104, table_s3_events!$B:$B, table_s3_events!$A:$A)</f>
        <v>Cambrian Agronomic Revolution</v>
      </c>
      <c r="B104" t="s">
        <v>606</v>
      </c>
      <c r="C104" t="str">
        <f>_xlfn.XLOOKUP($B104, table_s3_events!$B:$B, table_s3_events!$E:$E)</f>
        <v>persistent</v>
      </c>
      <c r="D104" s="5">
        <f>_xlfn.XLOOKUP($B104, table_s3_events!$B:$B, table_s3_events!$G:$G)</f>
        <v>545</v>
      </c>
      <c r="E104" t="s">
        <v>16</v>
      </c>
      <c r="F104" t="s">
        <v>637</v>
      </c>
      <c r="G104" t="s">
        <v>667</v>
      </c>
      <c r="H104" t="s">
        <v>634</v>
      </c>
      <c r="I104">
        <v>946</v>
      </c>
      <c r="J104" s="2">
        <f>_xlfn.XLOOKUP(A104, table_s3_events!A:A, table_s3_events!J:J)</f>
        <v>40000000</v>
      </c>
      <c r="K104" s="7">
        <f t="shared" si="8"/>
        <v>0.23649999999999999</v>
      </c>
      <c r="L104" s="7">
        <f t="shared" si="9"/>
        <v>23.65</v>
      </c>
      <c r="M104" t="s">
        <v>701</v>
      </c>
    </row>
    <row r="105" spans="1:13" x14ac:dyDescent="0.35">
      <c r="A105" t="str">
        <f>_xlfn.XLOOKUP($B105, table_s3_events!$B:$B, table_s3_events!$A:$A)</f>
        <v>Cambrian Agronomic Revolution</v>
      </c>
      <c r="B105" t="s">
        <v>606</v>
      </c>
      <c r="C105" t="str">
        <f>_xlfn.XLOOKUP($B105, table_s3_events!$B:$B, table_s3_events!$E:$E)</f>
        <v>persistent</v>
      </c>
      <c r="D105" s="5">
        <f>_xlfn.XLOOKUP($B105, table_s3_events!$B:$B, table_s3_events!$G:$G)</f>
        <v>545</v>
      </c>
      <c r="E105" t="s">
        <v>16</v>
      </c>
      <c r="F105" t="s">
        <v>632</v>
      </c>
      <c r="G105" t="s">
        <v>667</v>
      </c>
      <c r="H105" t="s">
        <v>634</v>
      </c>
      <c r="I105">
        <v>950</v>
      </c>
      <c r="J105" s="2">
        <f>_xlfn.XLOOKUP(A105, table_s3_events!A:A, table_s3_events!J:J)</f>
        <v>40000000</v>
      </c>
      <c r="K105" s="7">
        <f t="shared" si="8"/>
        <v>0.23749999999999999</v>
      </c>
      <c r="L105" s="7">
        <f t="shared" si="9"/>
        <v>23.75</v>
      </c>
      <c r="M105" t="s">
        <v>702</v>
      </c>
    </row>
    <row r="106" spans="1:13" x14ac:dyDescent="0.35">
      <c r="A106" t="str">
        <f>_xlfn.XLOOKUP($B106, table_s3_events!$B:$B, table_s3_events!$A:$A)</f>
        <v>Eukaryogenesis</v>
      </c>
      <c r="B106" t="s">
        <v>609</v>
      </c>
      <c r="C106" t="str">
        <f>_xlfn.XLOOKUP($B106, table_s3_events!$B:$B, table_s3_events!$E:$E)</f>
        <v>persistent</v>
      </c>
      <c r="D106" s="5">
        <f>_xlfn.XLOOKUP($B106, table_s3_events!$B:$B, table_s3_events!$G:$G)</f>
        <v>2220</v>
      </c>
      <c r="E106" t="s">
        <v>24</v>
      </c>
      <c r="F106" t="s">
        <v>646</v>
      </c>
      <c r="G106" t="s">
        <v>633</v>
      </c>
      <c r="H106" t="s">
        <v>634</v>
      </c>
      <c r="I106">
        <v>600</v>
      </c>
      <c r="J106" s="2">
        <f>_xlfn.XLOOKUP(A106, table_s3_events!A:A, table_s3_events!J:J)</f>
        <v>100000000</v>
      </c>
      <c r="K106" s="7" t="str">
        <f t="shared" si="8"/>
        <v>NA</v>
      </c>
      <c r="L106" s="7">
        <f t="shared" si="9"/>
        <v>6</v>
      </c>
      <c r="M106" t="s">
        <v>703</v>
      </c>
    </row>
    <row r="107" spans="1:13" x14ac:dyDescent="0.35">
      <c r="A107" t="str">
        <f>_xlfn.XLOOKUP($B107, table_s3_events!$B:$B, table_s3_events!$A:$A)</f>
        <v>Great Oxygenation Event</v>
      </c>
      <c r="B107" t="s">
        <v>613</v>
      </c>
      <c r="C107" t="str">
        <f>_xlfn.XLOOKUP($B107, table_s3_events!$B:$B, table_s3_events!$E:$E)</f>
        <v>persistent</v>
      </c>
      <c r="D107" s="5">
        <f>_xlfn.XLOOKUP($B107, table_s3_events!$B:$B, table_s3_events!$G:$G)</f>
        <v>2400</v>
      </c>
      <c r="E107" t="s">
        <v>62</v>
      </c>
      <c r="F107" t="s">
        <v>650</v>
      </c>
      <c r="G107" t="s">
        <v>633</v>
      </c>
      <c r="H107" t="s">
        <v>634</v>
      </c>
      <c r="I107">
        <v>458</v>
      </c>
      <c r="J107" s="2">
        <f>_xlfn.XLOOKUP(A107, table_s3_events!A:A, table_s3_events!J:J)</f>
        <v>500000000</v>
      </c>
      <c r="K107" s="7" t="str">
        <f t="shared" si="8"/>
        <v>NA</v>
      </c>
      <c r="L107" s="7">
        <f t="shared" si="9"/>
        <v>0.91600000000000004</v>
      </c>
      <c r="M107" t="s">
        <v>704</v>
      </c>
    </row>
    <row r="108" spans="1:13" x14ac:dyDescent="0.35">
      <c r="A108" t="str">
        <f>_xlfn.XLOOKUP($B108, table_s3_events!$B:$B, table_s3_events!$A:$A)</f>
        <v>Great Oxygenation Event</v>
      </c>
      <c r="B108" t="s">
        <v>613</v>
      </c>
      <c r="C108" t="str">
        <f>_xlfn.XLOOKUP($B108, table_s3_events!$B:$B, table_s3_events!$E:$E)</f>
        <v>persistent</v>
      </c>
      <c r="D108" s="5">
        <f>_xlfn.XLOOKUP($B108, table_s3_events!$B:$B, table_s3_events!$G:$G)</f>
        <v>2400</v>
      </c>
      <c r="E108" t="s">
        <v>62</v>
      </c>
      <c r="F108" t="s">
        <v>650</v>
      </c>
      <c r="G108" t="s">
        <v>633</v>
      </c>
      <c r="H108" t="s">
        <v>634</v>
      </c>
      <c r="I108">
        <v>188000</v>
      </c>
      <c r="J108" s="2">
        <f>_xlfn.XLOOKUP(A108, table_s3_events!A:A, table_s3_events!J:J)</f>
        <v>500000000</v>
      </c>
      <c r="K108" s="7" t="str">
        <f t="shared" si="8"/>
        <v>NA</v>
      </c>
      <c r="L108" s="7">
        <f t="shared" si="9"/>
        <v>376</v>
      </c>
      <c r="M108" t="s">
        <v>705</v>
      </c>
    </row>
  </sheetData>
  <autoFilter ref="A1:M106" xr:uid="{582492E0-B1D4-4D01-BDC9-52F30A59C1EC}">
    <sortState xmlns:xlrd2="http://schemas.microsoft.com/office/spreadsheetml/2017/richdata2" ref="A2:M108">
      <sortCondition ref="D1:D106"/>
    </sortState>
  </autoFilter>
  <phoneticPr fontId="2" type="noConversion"/>
  <conditionalFormatting sqref="A1:XFD1048576">
    <cfRule type="containsBlanks" dxfId="0" priority="1">
      <formula>LEN(TRIM(A1))=0</formula>
    </cfRule>
  </conditionalFormatting>
  <dataValidations count="3">
    <dataValidation type="list" allowBlank="1" showInputMessage="1" showErrorMessage="1" sqref="H1:H1048576" xr:uid="{0198EAC7-F031-4E20-957C-952204BB2F4A}">
      <formula1>"change_metric, percent, count"</formula1>
    </dataValidation>
    <dataValidation type="list" allowBlank="1" showInputMessage="1" showErrorMessage="1" sqref="F1:F1048576" xr:uid="{45ABE526-BF63-4DE7-A57C-3DD20368B497}">
      <formula1>$P:$P</formula1>
    </dataValidation>
    <dataValidation type="list" allowBlank="1" showInputMessage="1" showErrorMessage="1" sqref="G1:G1048576" xr:uid="{BDC071B9-A7BF-4BAD-83F6-305DB4C2BFF0}">
      <formula1>$O:$O</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CD39283-F4E1-4D52-B7DE-3097070FAE2B}">
          <x14:formula1>
            <xm:f>references!$A:$A</xm:f>
          </x14:formula1>
          <xm:sqref>E1:E1048576</xm:sqref>
        </x14:dataValidation>
        <x14:dataValidation type="list" allowBlank="1" showInputMessage="1" showErrorMessage="1" xr:uid="{FAB42693-32D4-4C10-802D-AF303937A480}">
          <x14:formula1>
            <xm:f>table_s3_events!$B:$B</xm:f>
          </x14:formula1>
          <xm:sqref>B1:B1048576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3B5FF1D6D93545B0A9BE76E04A5739" ma:contentTypeVersion="11" ma:contentTypeDescription="Create a new document." ma:contentTypeScope="" ma:versionID="b213452e5774ccb18cdbac914376359f">
  <xsd:schema xmlns:xsd="http://www.w3.org/2001/XMLSchema" xmlns:xs="http://www.w3.org/2001/XMLSchema" xmlns:p="http://schemas.microsoft.com/office/2006/metadata/properties" xmlns:ns2="f4d1a5f8-cfe9-4a60-92ce-29fb37cf63af" xmlns:ns3="d7940701-fd28-48c6-89b6-2769869457dd" targetNamespace="http://schemas.microsoft.com/office/2006/metadata/properties" ma:root="true" ma:fieldsID="94bb0651eba29840b02d7d9879aff2b0" ns2:_="" ns3:_="">
    <xsd:import namespace="f4d1a5f8-cfe9-4a60-92ce-29fb37cf63af"/>
    <xsd:import namespace="d7940701-fd28-48c6-89b6-2769869457d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d1a5f8-cfe9-4a60-92ce-29fb37cf6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940701-fd28-48c6-89b6-2769869457d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22dac7-bad3-4c89-8e79-8a3466368dde}" ma:internalName="TaxCatchAll" ma:showField="CatchAllData" ma:web="d7940701-fd28-48c6-89b6-2769869457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7940701-fd28-48c6-89b6-2769869457dd" xsi:nil="true"/>
    <lcf76f155ced4ddcb4097134ff3c332f xmlns="f4d1a5f8-cfe9-4a60-92ce-29fb37cf63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242F3B7-E13F-47B3-89BF-DC7F2A584373}">
  <ds:schemaRefs>
    <ds:schemaRef ds:uri="http://schemas.microsoft.com/sharepoint/v3/contenttype/forms"/>
  </ds:schemaRefs>
</ds:datastoreItem>
</file>

<file path=customXml/itemProps2.xml><?xml version="1.0" encoding="utf-8"?>
<ds:datastoreItem xmlns:ds="http://schemas.openxmlformats.org/officeDocument/2006/customXml" ds:itemID="{14D4D638-0E0C-48CA-BE88-3BE2B56E95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d1a5f8-cfe9-4a60-92ce-29fb37cf63af"/>
    <ds:schemaRef ds:uri="d7940701-fd28-48c6-89b6-27698694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79CFA0-01D1-49C4-829E-9CD6990EDE07}">
  <ds:schemaRefs>
    <ds:schemaRef ds:uri="http://schemas.microsoft.com/office/2006/metadata/properties"/>
    <ds:schemaRef ds:uri="http://schemas.microsoft.com/office/infopath/2007/PartnerControls"/>
    <ds:schemaRef ds:uri="d7940701-fd28-48c6-89b6-2769869457dd"/>
    <ds:schemaRef ds:uri="f4d1a5f8-cfe9-4a60-92ce-29fb37cf63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references</vt:lpstr>
      <vt:lpstr>table_s1_transient</vt:lpstr>
      <vt:lpstr>table_s2_persistent</vt:lpstr>
      <vt:lpstr>table_s3_events</vt:lpstr>
      <vt:lpstr>table_s4_summaries</vt:lpstr>
      <vt:lpstr>table_s5_biosphere_changes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Wong Hearing, Thomas W. (Dr.)</dc:creator>
  <cp:keywords/>
  <dc:description/>
  <cp:lastModifiedBy>Wong Hearing, Thomas W. (Dr.)</cp:lastModifiedBy>
  <cp:revision/>
  <dcterms:created xsi:type="dcterms:W3CDTF">2025-06-23T11:09:54Z</dcterms:created>
  <dcterms:modified xsi:type="dcterms:W3CDTF">2026-08-07T17:39:13Z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0x010100EE3B5FF1D6D93545B0A9BE76E04A5739</vt:lpwstr>
  </property>
  <property fmtid="{D5CDD505-2E9C-101B-9397-08002B2CF9AE}" pid="3" name="MediaServiceImageTags">
    <vt:lpwstr/>
  </property>
</Properties>
</file>