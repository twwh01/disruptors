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https://uniofleicester.sharepoint.com/sites/Team_caad90aa-a47f-449b-818d-a866be7fd445/Shared Documents/General/data/"/>
    </mc:Choice>
  </mc:AlternateContent>
  <xr:revisionPtr revIDLastSave="115" documentId="8_{2185ED28-394C-4B15-AA86-7120D6AF9B0A}" xr6:coauthVersionLast="47" xr6:coauthVersionMax="47" xr10:uidLastSave="{5381AD78-053C-451A-B278-87ABBE5D2D44}"/>
  <bookViews>
    <workbookView xWindow="-28920" yWindow="-3870" windowWidth="29040" windowHeight="15840" xr2:uid="{3126E51C-B0E9-457E-98E2-44FE6544FF4A}"/>
  </bookViews>
  <sheets>
    <sheet name="README" sheetId="4" r:id="rId1"/>
    <sheet name="references" sheetId="3" r:id="rId2"/>
    <sheet name="table_s1_transient" sheetId="8" r:id="rId3"/>
    <sheet name="table_s2_persistent" sheetId="9" r:id="rId4"/>
    <sheet name="table_s3_events" sheetId="7" r:id="rId5"/>
    <sheet name="table_s4_summaries" sheetId="18" r:id="rId6"/>
    <sheet name="table_s5_biosphere_changes" sheetId="12" r:id="rId7"/>
  </sheets>
  <definedNames>
    <definedName name="_xlnm._FilterDatabase" localSheetId="1" hidden="1">references!$A$1:$C$3</definedName>
    <definedName name="_xlnm._FilterDatabase" localSheetId="2" hidden="1">table_s1_transient!$A$2:$J$26</definedName>
    <definedName name="_xlnm._FilterDatabase" localSheetId="3" hidden="1">table_s2_persistent!$A$2:$G$11</definedName>
    <definedName name="_xlnm._FilterDatabase" localSheetId="4" hidden="1">table_s3_events!$A$1:$K$36</definedName>
    <definedName name="_xlnm._FilterDatabase" localSheetId="6" hidden="1">table_s5_biosphere_changes!$A$1:$L$105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5" i="18" l="1" a="1"/>
  <c r="E5" i="18" s="1"/>
  <c r="E4" i="18" a="1"/>
  <c r="E4" i="18" s="1"/>
  <c r="E7" i="18" a="1"/>
  <c r="E7" i="18" s="1"/>
  <c r="D7" i="18" a="1"/>
  <c r="D7" i="18" s="1"/>
  <c r="C7" i="18" a="1"/>
  <c r="C7" i="18" s="1"/>
  <c r="E13" i="18" a="1"/>
  <c r="E13" i="18" s="1"/>
  <c r="D13" i="18" a="1"/>
  <c r="D13" i="18" s="1"/>
  <c r="C13" i="18" a="1"/>
  <c r="C13" i="18" s="1"/>
  <c r="E12" i="18" a="1"/>
  <c r="E12" i="18" s="1"/>
  <c r="D12" i="18" a="1"/>
  <c r="D12" i="18"/>
  <c r="C12" i="18" a="1"/>
  <c r="C12" i="18" s="1"/>
  <c r="E11" i="18" a="1"/>
  <c r="E11" i="18" s="1"/>
  <c r="D11" i="18" a="1"/>
  <c r="D11" i="18" s="1"/>
  <c r="C11" i="18" a="1"/>
  <c r="C11" i="18" s="1"/>
  <c r="D6" i="18" a="1"/>
  <c r="D6" i="18" s="1"/>
  <c r="E6" i="18" a="1"/>
  <c r="E6" i="18" s="1"/>
  <c r="C6" i="18" a="1"/>
  <c r="C6" i="18" s="1"/>
  <c r="D5" i="18" a="1"/>
  <c r="D5" i="18" s="1"/>
  <c r="C5" i="18" a="1"/>
  <c r="C5" i="18" s="1"/>
  <c r="D4" i="18" a="1"/>
  <c r="D4" i="18" s="1"/>
  <c r="C4" i="18" a="1"/>
  <c r="C4" i="18" s="1"/>
  <c r="E3" i="18" a="1"/>
  <c r="E3" i="18" s="1"/>
  <c r="D3" i="18" a="1"/>
  <c r="D3" i="18" s="1"/>
  <c r="C3" i="18" a="1"/>
  <c r="C3" i="18" s="1"/>
  <c r="E2" i="18"/>
  <c r="D2" i="18"/>
  <c r="C2" i="18"/>
  <c r="A13" i="12"/>
  <c r="I13" i="12" s="1"/>
  <c r="C13" i="12"/>
  <c r="A71" i="12"/>
  <c r="I71" i="12" s="1"/>
  <c r="K71" i="12" s="1"/>
  <c r="A72" i="12"/>
  <c r="I72" i="12" s="1"/>
  <c r="C12" i="12"/>
  <c r="A12" i="12"/>
  <c r="I12" i="12" s="1"/>
  <c r="C75" i="12"/>
  <c r="C105" i="12"/>
  <c r="C104" i="12"/>
  <c r="C103" i="12"/>
  <c r="C102" i="12"/>
  <c r="C101" i="12"/>
  <c r="C100" i="12"/>
  <c r="C99" i="12"/>
  <c r="C98" i="12"/>
  <c r="C97" i="12"/>
  <c r="C96" i="12"/>
  <c r="C95" i="12"/>
  <c r="C94" i="12"/>
  <c r="C93" i="12"/>
  <c r="C92" i="12"/>
  <c r="C91" i="12"/>
  <c r="C90" i="12"/>
  <c r="C89" i="12"/>
  <c r="C88" i="12"/>
  <c r="C87" i="12"/>
  <c r="C86" i="12"/>
  <c r="C85" i="12"/>
  <c r="C27" i="12"/>
  <c r="C26" i="12"/>
  <c r="C25" i="12"/>
  <c r="C24" i="12"/>
  <c r="C23" i="12"/>
  <c r="C22" i="12"/>
  <c r="C21" i="12"/>
  <c r="C20" i="12"/>
  <c r="C19" i="12"/>
  <c r="C18" i="12"/>
  <c r="C17" i="12"/>
  <c r="C16" i="12"/>
  <c r="C84" i="12"/>
  <c r="C83" i="12"/>
  <c r="C82" i="12"/>
  <c r="C81" i="12"/>
  <c r="C80" i="12"/>
  <c r="C79" i="12"/>
  <c r="C78" i="12"/>
  <c r="C77" i="12"/>
  <c r="C76" i="12"/>
  <c r="C74" i="12"/>
  <c r="C73" i="12"/>
  <c r="C41" i="12"/>
  <c r="C40" i="12"/>
  <c r="C39" i="12"/>
  <c r="C38" i="12"/>
  <c r="C37" i="12"/>
  <c r="C36" i="12"/>
  <c r="C70" i="12"/>
  <c r="C69" i="12"/>
  <c r="C68" i="12"/>
  <c r="C67" i="12"/>
  <c r="C66" i="12"/>
  <c r="C35" i="12"/>
  <c r="C34" i="12"/>
  <c r="C65" i="12"/>
  <c r="C64" i="12"/>
  <c r="C63" i="12"/>
  <c r="C33" i="12"/>
  <c r="C62" i="12"/>
  <c r="C61" i="12"/>
  <c r="C60" i="12"/>
  <c r="C59" i="12"/>
  <c r="C58" i="12"/>
  <c r="C57" i="12"/>
  <c r="C56" i="12"/>
  <c r="C55" i="12"/>
  <c r="C54" i="12"/>
  <c r="C53" i="12"/>
  <c r="C52" i="12"/>
  <c r="C51" i="12"/>
  <c r="C50" i="12"/>
  <c r="C49" i="12"/>
  <c r="C48" i="12"/>
  <c r="C47" i="12"/>
  <c r="C46" i="12"/>
  <c r="C45" i="12"/>
  <c r="C44" i="12"/>
  <c r="C43" i="12"/>
  <c r="C42" i="12"/>
  <c r="C32" i="12"/>
  <c r="C31" i="12"/>
  <c r="C30" i="12"/>
  <c r="C29" i="12"/>
  <c r="C28" i="12"/>
  <c r="C15" i="12"/>
  <c r="C14" i="12"/>
  <c r="C5" i="12"/>
  <c r="C4" i="12"/>
  <c r="C11" i="12"/>
  <c r="C10" i="12"/>
  <c r="C9" i="12"/>
  <c r="C8" i="12"/>
  <c r="C7" i="12"/>
  <c r="C6" i="12"/>
  <c r="C3" i="12"/>
  <c r="C2" i="12"/>
  <c r="A2" i="12"/>
  <c r="A48" i="12"/>
  <c r="I48" i="12" s="1"/>
  <c r="J48" i="12" s="1"/>
  <c r="E10" i="18" a="1"/>
  <c r="E10" i="18" s="1"/>
  <c r="D10" i="18" a="1"/>
  <c r="D10" i="18" s="1"/>
  <c r="C10" i="18" a="1"/>
  <c r="C10" i="18" s="1"/>
  <c r="E9" i="18" a="1"/>
  <c r="E9" i="18" s="1"/>
  <c r="D9" i="18" a="1"/>
  <c r="D9" i="18" s="1"/>
  <c r="C9" i="18" a="1"/>
  <c r="C9" i="18" s="1"/>
  <c r="E8" i="18"/>
  <c r="D8" i="18"/>
  <c r="C8" i="18"/>
  <c r="J54" i="12"/>
  <c r="J33" i="12"/>
  <c r="J34" i="12"/>
  <c r="J35" i="12"/>
  <c r="J36" i="12"/>
  <c r="J37" i="12"/>
  <c r="J38" i="12"/>
  <c r="J39" i="12"/>
  <c r="J16" i="12"/>
  <c r="J18" i="12"/>
  <c r="J29" i="12"/>
  <c r="J30" i="12"/>
  <c r="A58" i="12"/>
  <c r="A11" i="12"/>
  <c r="I11" i="12" s="1"/>
  <c r="K11" i="12" s="1"/>
  <c r="A27" i="12"/>
  <c r="I27" i="12" s="1"/>
  <c r="K27" i="12" s="1"/>
  <c r="A88" i="12"/>
  <c r="I88" i="12" s="1"/>
  <c r="K88" i="12" s="1"/>
  <c r="A89" i="12"/>
  <c r="I89" i="12" s="1"/>
  <c r="K89" i="12" s="1"/>
  <c r="A85" i="12"/>
  <c r="I85" i="12" s="1"/>
  <c r="K85" i="12" s="1"/>
  <c r="A86" i="12"/>
  <c r="I86" i="12" s="1"/>
  <c r="K86" i="12" s="1"/>
  <c r="A87" i="12"/>
  <c r="I87" i="12" s="1"/>
  <c r="K87" i="12" s="1"/>
  <c r="I1" i="12"/>
  <c r="A36" i="12"/>
  <c r="I36" i="12" s="1"/>
  <c r="K36" i="12" s="1"/>
  <c r="A37" i="12"/>
  <c r="I37" i="12" s="1"/>
  <c r="K37" i="12" s="1"/>
  <c r="A14" i="12"/>
  <c r="I14" i="12" s="1"/>
  <c r="K14" i="12" s="1"/>
  <c r="A15" i="12"/>
  <c r="I15" i="12" s="1"/>
  <c r="K15" i="12" s="1"/>
  <c r="A7" i="12"/>
  <c r="I7" i="12" s="1"/>
  <c r="K7" i="12" s="1"/>
  <c r="A10" i="12"/>
  <c r="I10" i="12" s="1"/>
  <c r="K10" i="12" s="1"/>
  <c r="A4" i="12"/>
  <c r="I4" i="12" s="1"/>
  <c r="K4" i="12" s="1"/>
  <c r="A5" i="12"/>
  <c r="I5" i="12" s="1"/>
  <c r="K5" i="12" s="1"/>
  <c r="A23" i="12"/>
  <c r="I23" i="12" s="1"/>
  <c r="K23" i="12" s="1"/>
  <c r="A29" i="12"/>
  <c r="I29" i="12" s="1"/>
  <c r="K29" i="12" s="1"/>
  <c r="A38" i="12"/>
  <c r="I38" i="12" s="1"/>
  <c r="K38" i="12" s="1"/>
  <c r="A30" i="12"/>
  <c r="I30" i="12" s="1"/>
  <c r="K30" i="12" s="1"/>
  <c r="A34" i="12"/>
  <c r="I34" i="12" s="1"/>
  <c r="K34" i="12" s="1"/>
  <c r="A35" i="12"/>
  <c r="I35" i="12" s="1"/>
  <c r="K35" i="12" s="1"/>
  <c r="A17" i="12"/>
  <c r="I17" i="12" s="1"/>
  <c r="K17" i="12" s="1"/>
  <c r="A16" i="12"/>
  <c r="I16" i="12" s="1"/>
  <c r="K16" i="12" s="1"/>
  <c r="A39" i="12"/>
  <c r="I39" i="12" s="1"/>
  <c r="K39" i="12" s="1"/>
  <c r="A76" i="12"/>
  <c r="I76" i="12" s="1"/>
  <c r="K76" i="12" s="1"/>
  <c r="A97" i="12"/>
  <c r="I97" i="12" s="1"/>
  <c r="K97" i="12" s="1"/>
  <c r="A94" i="12"/>
  <c r="I94" i="12" s="1"/>
  <c r="K94" i="12" s="1"/>
  <c r="A90" i="12"/>
  <c r="I90" i="12" s="1"/>
  <c r="K90" i="12" s="1"/>
  <c r="A68" i="12"/>
  <c r="I68" i="12" s="1"/>
  <c r="K68" i="12" s="1"/>
  <c r="A78" i="12"/>
  <c r="I78" i="12" s="1"/>
  <c r="K78" i="12" s="1"/>
  <c r="A33" i="12"/>
  <c r="I33" i="12" s="1"/>
  <c r="K33" i="12" s="1"/>
  <c r="A20" i="12"/>
  <c r="I20" i="12" s="1"/>
  <c r="K20" i="12" s="1"/>
  <c r="J13" i="12" l="1"/>
  <c r="K13" i="12"/>
  <c r="J72" i="12"/>
  <c r="K72" i="12"/>
  <c r="J71" i="12"/>
  <c r="K48" i="12"/>
  <c r="J12" i="12"/>
  <c r="K12" i="12"/>
  <c r="J94" i="12"/>
  <c r="J89" i="12"/>
  <c r="J68" i="12"/>
  <c r="J97" i="12"/>
  <c r="J87" i="12"/>
  <c r="J20" i="12"/>
  <c r="J11" i="12"/>
  <c r="J5" i="12"/>
  <c r="J76" i="12"/>
  <c r="J7" i="12"/>
  <c r="J23" i="12"/>
  <c r="J4" i="12"/>
  <c r="J88" i="12"/>
  <c r="J15" i="12"/>
  <c r="J14" i="12"/>
  <c r="J90" i="12"/>
  <c r="J78" i="12"/>
  <c r="J10" i="12"/>
  <c r="J86" i="12"/>
  <c r="J17" i="12"/>
  <c r="J85" i="12"/>
  <c r="J27" i="12"/>
  <c r="A3" i="12"/>
  <c r="I3" i="12" s="1"/>
  <c r="A95" i="12"/>
  <c r="I95" i="12" s="1"/>
  <c r="A28" i="12"/>
  <c r="I28" i="12" s="1"/>
  <c r="A9" i="12"/>
  <c r="I9" i="12" s="1"/>
  <c r="A6" i="12"/>
  <c r="I6" i="12" s="1"/>
  <c r="A8" i="12"/>
  <c r="I8" i="12" s="1"/>
  <c r="A26" i="12"/>
  <c r="I26" i="12" s="1"/>
  <c r="A49" i="12"/>
  <c r="I49" i="12" s="1"/>
  <c r="A51" i="12"/>
  <c r="I51" i="12" s="1"/>
  <c r="A50" i="12"/>
  <c r="I50" i="12" s="1"/>
  <c r="A31" i="12"/>
  <c r="I31" i="12" s="1"/>
  <c r="A32" i="12"/>
  <c r="I32" i="12" s="1"/>
  <c r="A62" i="12"/>
  <c r="I62" i="12" s="1"/>
  <c r="A60" i="12"/>
  <c r="I60" i="12" s="1"/>
  <c r="A61" i="12"/>
  <c r="I61" i="12" s="1"/>
  <c r="A57" i="12"/>
  <c r="I57" i="12" s="1"/>
  <c r="A59" i="12"/>
  <c r="I59" i="12" s="1"/>
  <c r="I58" i="12"/>
  <c r="A64" i="12"/>
  <c r="I64" i="12" s="1"/>
  <c r="A63" i="12"/>
  <c r="I63" i="12" s="1"/>
  <c r="A65" i="12"/>
  <c r="I65" i="12" s="1"/>
  <c r="A67" i="12"/>
  <c r="I67" i="12" s="1"/>
  <c r="A66" i="12"/>
  <c r="I66" i="12" s="1"/>
  <c r="A70" i="12"/>
  <c r="I70" i="12" s="1"/>
  <c r="A45" i="12"/>
  <c r="I45" i="12" s="1"/>
  <c r="A46" i="12"/>
  <c r="I46" i="12" s="1"/>
  <c r="A47" i="12"/>
  <c r="I47" i="12" s="1"/>
  <c r="A77" i="12"/>
  <c r="I77" i="12" s="1"/>
  <c r="A73" i="12"/>
  <c r="I73" i="12" s="1"/>
  <c r="A74" i="12"/>
  <c r="I74" i="12" s="1"/>
  <c r="A75" i="12"/>
  <c r="I75" i="12" s="1"/>
  <c r="A79" i="12"/>
  <c r="I79" i="12" s="1"/>
  <c r="A80" i="12"/>
  <c r="I80" i="12" s="1"/>
  <c r="A84" i="12"/>
  <c r="I84" i="12" s="1"/>
  <c r="A83" i="12"/>
  <c r="I83" i="12" s="1"/>
  <c r="A82" i="12"/>
  <c r="I82" i="12" s="1"/>
  <c r="A81" i="12"/>
  <c r="I81" i="12" s="1"/>
  <c r="A41" i="12"/>
  <c r="I41" i="12" s="1"/>
  <c r="A40" i="12"/>
  <c r="I40" i="12" s="1"/>
  <c r="A52" i="12"/>
  <c r="I52" i="12" s="1"/>
  <c r="A56" i="12"/>
  <c r="I56" i="12" s="1"/>
  <c r="A53" i="12"/>
  <c r="A55" i="12"/>
  <c r="I55" i="12" s="1"/>
  <c r="A92" i="12"/>
  <c r="I92" i="12" s="1"/>
  <c r="A91" i="12"/>
  <c r="I91" i="12" s="1"/>
  <c r="A93" i="12"/>
  <c r="I93" i="12" s="1"/>
  <c r="A96" i="12"/>
  <c r="I96" i="12" s="1"/>
  <c r="A98" i="12"/>
  <c r="I98" i="12" s="1"/>
  <c r="A99" i="12"/>
  <c r="I99" i="12" s="1"/>
  <c r="A101" i="12"/>
  <c r="I101" i="12" s="1"/>
  <c r="A100" i="12"/>
  <c r="I100" i="12" s="1"/>
  <c r="A69" i="12"/>
  <c r="I69" i="12" s="1"/>
  <c r="A105" i="12"/>
  <c r="I105" i="12" s="1"/>
  <c r="A104" i="12"/>
  <c r="I104" i="12" s="1"/>
  <c r="A103" i="12"/>
  <c r="I103" i="12" s="1"/>
  <c r="A102" i="12"/>
  <c r="I102" i="12" s="1"/>
  <c r="A44" i="12"/>
  <c r="I44" i="12" s="1"/>
  <c r="A43" i="12"/>
  <c r="I43" i="12" s="1"/>
  <c r="A42" i="12"/>
  <c r="I42" i="12" s="1"/>
  <c r="A54" i="12"/>
  <c r="A18" i="12"/>
  <c r="I18" i="12" s="1"/>
  <c r="K18" i="12" s="1"/>
  <c r="A21" i="12"/>
  <c r="I21" i="12" s="1"/>
  <c r="J21" i="12" s="1"/>
  <c r="A24" i="12"/>
  <c r="I24" i="12" s="1"/>
  <c r="A25" i="12"/>
  <c r="I25" i="12" s="1"/>
  <c r="A22" i="12"/>
  <c r="I22" i="12" s="1"/>
  <c r="A19" i="12"/>
  <c r="I19" i="12" s="1"/>
  <c r="J19" i="12" s="1"/>
  <c r="I2" i="12"/>
  <c r="K2" i="12" l="1"/>
  <c r="J2" i="12"/>
  <c r="J52" i="12"/>
  <c r="I54" i="12"/>
  <c r="K54" i="12" s="1"/>
  <c r="I53" i="12"/>
  <c r="J53" i="12" s="1"/>
  <c r="K73" i="12"/>
  <c r="J73" i="12"/>
  <c r="K24" i="12"/>
  <c r="J24" i="12"/>
  <c r="K42" i="12"/>
  <c r="J42" i="12"/>
  <c r="K32" i="12"/>
  <c r="J32" i="12"/>
  <c r="K22" i="12"/>
  <c r="J22" i="12"/>
  <c r="K40" i="12"/>
  <c r="J40" i="12"/>
  <c r="K98" i="12"/>
  <c r="J98" i="12"/>
  <c r="K31" i="12"/>
  <c r="J31" i="12"/>
  <c r="K105" i="12"/>
  <c r="J105" i="12"/>
  <c r="K64" i="12"/>
  <c r="J64" i="12"/>
  <c r="K77" i="12"/>
  <c r="J77" i="12"/>
  <c r="K58" i="12"/>
  <c r="J58" i="12"/>
  <c r="K100" i="12"/>
  <c r="J100" i="12"/>
  <c r="K47" i="12"/>
  <c r="J47" i="12"/>
  <c r="K41" i="12"/>
  <c r="J41" i="12"/>
  <c r="K46" i="12"/>
  <c r="J46" i="12"/>
  <c r="K57" i="12"/>
  <c r="J57" i="12"/>
  <c r="K81" i="12"/>
  <c r="J81" i="12"/>
  <c r="K45" i="12"/>
  <c r="J45" i="12"/>
  <c r="K61" i="12"/>
  <c r="J61" i="12"/>
  <c r="K82" i="12"/>
  <c r="J82" i="12"/>
  <c r="K70" i="12"/>
  <c r="J70" i="12"/>
  <c r="K96" i="12"/>
  <c r="J96" i="12"/>
  <c r="K83" i="12"/>
  <c r="J83" i="12"/>
  <c r="K66" i="12"/>
  <c r="J66" i="12"/>
  <c r="K62" i="12"/>
  <c r="J62" i="12"/>
  <c r="K3" i="12"/>
  <c r="J3" i="12"/>
  <c r="K43" i="12"/>
  <c r="J43" i="12"/>
  <c r="K93" i="12"/>
  <c r="J93" i="12"/>
  <c r="K84" i="12"/>
  <c r="J84" i="12"/>
  <c r="K67" i="12"/>
  <c r="J67" i="12"/>
  <c r="K44" i="12"/>
  <c r="J44" i="12"/>
  <c r="K91" i="12"/>
  <c r="J91" i="12"/>
  <c r="K80" i="12"/>
  <c r="J80" i="12"/>
  <c r="K102" i="12"/>
  <c r="J102" i="12"/>
  <c r="K92" i="12"/>
  <c r="J92" i="12"/>
  <c r="K79" i="12"/>
  <c r="J79" i="12"/>
  <c r="K50" i="12"/>
  <c r="J50" i="12"/>
  <c r="K103" i="12"/>
  <c r="J103" i="12"/>
  <c r="K55" i="12"/>
  <c r="J55" i="12"/>
  <c r="K75" i="12"/>
  <c r="J75" i="12"/>
  <c r="K65" i="12"/>
  <c r="J65" i="12"/>
  <c r="K51" i="12"/>
  <c r="J51" i="12"/>
  <c r="K19" i="12"/>
  <c r="K104" i="12"/>
  <c r="J104" i="12"/>
  <c r="K74" i="12"/>
  <c r="J74" i="12"/>
  <c r="K63" i="12"/>
  <c r="J63" i="12"/>
  <c r="K49" i="12"/>
  <c r="J49" i="12"/>
  <c r="K26" i="12"/>
  <c r="J26" i="12"/>
  <c r="K8" i="12"/>
  <c r="J8" i="12"/>
  <c r="K25" i="12"/>
  <c r="J25" i="12"/>
  <c r="K59" i="12"/>
  <c r="J59" i="12"/>
  <c r="J6" i="12"/>
  <c r="K6" i="12"/>
  <c r="K101" i="12"/>
  <c r="J101" i="12"/>
  <c r="K9" i="12"/>
  <c r="J9" i="12"/>
  <c r="K56" i="12"/>
  <c r="J56" i="12"/>
  <c r="K21" i="12"/>
  <c r="K28" i="12"/>
  <c r="J28" i="12"/>
  <c r="K69" i="12"/>
  <c r="J69" i="12"/>
  <c r="K99" i="12"/>
  <c r="J99" i="12"/>
  <c r="K60" i="12"/>
  <c r="J60" i="12"/>
  <c r="K95" i="12"/>
  <c r="J95" i="12"/>
  <c r="K53" i="12" l="1"/>
  <c r="K52" i="1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<sst xmlns="http://schemas.openxmlformats.org/spreadsheetml/2006/main" count="1339" uniqueCount="636">
  <si>
    <t>Explanation of sheets</t>
  </si>
  <si>
    <t>references</t>
  </si>
  <si>
    <t>id</t>
  </si>
  <si>
    <t>short_ref</t>
  </si>
  <si>
    <t>full_ref</t>
  </si>
  <si>
    <t>Richardson et al 2023</t>
  </si>
  <si>
    <t>Richardson, K., Steffen, W., et al. 2023. Earth beyond six of nine planetary boundaries. Science Advances, 9, eadh2458, https://doi.org/10.1126/sciadv.adh2458.</t>
  </si>
  <si>
    <t>Ocean acidification</t>
  </si>
  <si>
    <t>count</t>
  </si>
  <si>
    <t>Forster, P.M., Smith, C.J., et al. 2023. Indicators of Global Climate Change 2022: annual update of large-scale indicators of the state of the climate system and human influence. Earth System Science Data, 15, 2295–2327, https://doi.org/10.5194/essd-15-2295-2023.</t>
  </si>
  <si>
    <t>Forster et al 2023</t>
  </si>
  <si>
    <t>Ceballos, G., Ehrlich, P.R., Barnosky, A.D., García, A., Pringle, R.M. and Palmer, T.M. 2015. Accelerated modern human–induced species losses: Entering the sixth mass extinction. Science Advances, 1, e1400253, https://doi.org/10.1126/sciadv.1400253.</t>
  </si>
  <si>
    <t>Ceballos et al 2015</t>
  </si>
  <si>
    <t>Cowie, R.H., Bouchet, P. and Fontaine, B. 2022. The Sixth Mass Extinction: fact, fiction or speculation? Biological Reviews, 97, 640–663, https://doi.org/10.1111/brv.12816.</t>
  </si>
  <si>
    <t>Cowie et al 2022</t>
  </si>
  <si>
    <t>Rounsevell, M.D.A., Harfoot, M., Harrison, P.A., Newbold, T., Gregory, R.D. and Mace, G.M. 2020. A biodiversity target based on species extinctions. Science, 368, 1193–1195, https://doi.org/10.1126/science.aba6592.</t>
  </si>
  <si>
    <t>Rounsevell et al 2020</t>
  </si>
  <si>
    <t>NASA Earth Observation</t>
  </si>
  <si>
    <t>NASA Earth Observation, AURA Ozone data: https://neo.gsfc.nasa.gov/archive/geotiff.float/AURA_OZONE_M/</t>
  </si>
  <si>
    <t>Jiang, L.-Q., Feely, R.A., Carter, B.R., Greeley, D.J., Gledhill, D.K. and Arzayus, K.M. 2015. Climatological distribution of aragonite saturation state in the global oceans. Global Biogeochemical Cycles, 29, 1656–1673, https://doi.org/10.1002/2015GB005198.</t>
  </si>
  <si>
    <t>Jiang et al 2015</t>
  </si>
  <si>
    <t>Carpenter &amp; Bennett 2011</t>
  </si>
  <si>
    <t>Carpenter, S.R. and Bennett, E.M. 2011. Reconsideration of the planetary boundary for phosphorus. Environmental Research Letters, 6, 014009, https://doi.org/10.1088/1748-9326/6/1/014009.</t>
  </si>
  <si>
    <t>Lu &amp; Tian 2017</t>
  </si>
  <si>
    <t>Lu, C. and Tian, H. 2017. Global nitrogen and phosphorus fertilizer use for agriculture production in the past half century: shifted hot spots and nutrient imbalance. Earth System Science Data, 9, 181–192, https://doi.org/10.5194/essd-9-181-2017.</t>
  </si>
  <si>
    <t>FAO 2022</t>
  </si>
  <si>
    <t>FAO 2022. FAOSTAT—FAO database for food and agriculture: http://www.fao.org/faostat/</t>
  </si>
  <si>
    <t>EU Copernicus Climate Change Service. Land cover classification gridded maps from 1992 to present derived from satellite observations. ICDR Land Cover 2016-2020, https://cds.climate.copernicus.eu/datasets/satellite-land-cover?tab=overview</t>
  </si>
  <si>
    <t>EU Copernicus Climate Change Service</t>
  </si>
  <si>
    <t>Ramankutty, N. and Foley, J.A. 1998. Characterizing patterns of global land use: An analysis of global croplands data. Global Biogeochemical Cycles, 12, 667–685, https://doi.org/10.1029/98GB02512.</t>
  </si>
  <si>
    <t>Ramakutty &amp; Foley 1998</t>
  </si>
  <si>
    <t>Porkka, M., Virkki, V., et al. 2022. Global water cycle shifts far beyond pre-industrial conditions – planetary boundary for freshwater change transgressed, EarthArXiv; https://doi.org/10.1038/s44221-024-00208-7.</t>
  </si>
  <si>
    <t>Porkka et al 2022</t>
  </si>
  <si>
    <t>Chin, M., Diehl, T., et al. 2014. Multi-decadal aerosol variations from 1980 to 2009: a perspective from observations and a global model. Atmospheric Chemistry and Physics, 14, 3657–3690, https://doi.org/10.5194/acp-14-3657-2014.</t>
  </si>
  <si>
    <t>Chin et al 2014</t>
  </si>
  <si>
    <t>Vogel, A., Alessa, G., Scheele, R., Weber, L., Dubovik, O., North, P. and Fiedler, S. 2022. Uncertainty in Aerosol Optical Depth From Modern Aerosol-Climate Models, Reanalyses, and Satellite Products. Journal of Geophysical Research: Atmospheres, 127, e2021JD035483, https://doi.org/10.1029/2021JD035483.</t>
  </si>
  <si>
    <t>Vogel et al 2022</t>
  </si>
  <si>
    <t>Zanis et al 2020</t>
  </si>
  <si>
    <t>Zanis, P., Akritidis, D., et al. 2020. Fast responses on pre-industrial climate from present-day aerosols in a CMIP6 multi-model study. Atmospheric Chemistry and Physics, 20, 8381–8404, https://doi.org/10.5194/acp-20-8381-2020.</t>
  </si>
  <si>
    <t>Sun, Y. 2024. Dynamics of nutrient cycles in the Permian–Triassic oceans. Earth-Science Reviews, 258, 104914, https://doi.org/10.1016/j.earscirev.2024.104914.</t>
  </si>
  <si>
    <t>Sun 2024</t>
  </si>
  <si>
    <t>Cretaceous-Palaeogene boundary</t>
  </si>
  <si>
    <t>Palaeocene-Eocene Thermal Maximum</t>
  </si>
  <si>
    <t>type</t>
  </si>
  <si>
    <t>Cambrian agronomic revolution</t>
  </si>
  <si>
    <t>Müller, J., Sun, Y., Yang, F., Fantasia, A. and Joachimski, M. 2022. Phosphorus Cycle and Primary Productivity Changes in the Tethys Ocean During the Permian-Triassic Transition: Starving Marine Ecosystems. Frontiers in Earth Science, 10, https://doi.org/10.3389/feart.2022.832308.</t>
  </si>
  <si>
    <t>Muller et al 2022</t>
  </si>
  <si>
    <t>Clarkson, M.O., Kasemann, S.A., et al. 2015. Ocean acidification and the Permo-Triassic mass extinction. Science, 348, 229–232, https://doi.org/10.1126/science.aaa0193.</t>
  </si>
  <si>
    <t>Clarkson et al 2015</t>
  </si>
  <si>
    <t>transient</t>
  </si>
  <si>
    <t>persistent</t>
  </si>
  <si>
    <t>GOE</t>
  </si>
  <si>
    <t>Angiosperm revolution</t>
  </si>
  <si>
    <t>interval_abbreviation</t>
  </si>
  <si>
    <t>PTME</t>
  </si>
  <si>
    <t>K-Pg</t>
  </si>
  <si>
    <t>PETM</t>
  </si>
  <si>
    <t>Fr-Fm</t>
  </si>
  <si>
    <t>big5</t>
  </si>
  <si>
    <t>big3_hatfield</t>
  </si>
  <si>
    <t>yes</t>
  </si>
  <si>
    <t>LOME</t>
  </si>
  <si>
    <t>Bambach 2006</t>
  </si>
  <si>
    <t>Duration</t>
  </si>
  <si>
    <t>Proximate cause of biotic event (if known)</t>
  </si>
  <si>
    <t>Carbon isotope shift (indicator of carbon cycle disruption)</t>
  </si>
  <si>
    <t xml:space="preserve">Biosphere impact </t>
  </si>
  <si>
    <t>100s of years for the Anthropocene extinction episode</t>
  </si>
  <si>
    <t>Human activity</t>
  </si>
  <si>
    <t>Icehouse</t>
  </si>
  <si>
    <t>Warming</t>
  </si>
  <si>
    <t>Yes</t>
  </si>
  <si>
    <t>Uncertain; currently at least –1 ‰ in the surface ocean and –2 ‰ in the atmosphere (Kwon et al. 2022)</t>
  </si>
  <si>
    <t>Potential mass extinction and significant decline in biomass</t>
  </si>
  <si>
    <t>&lt;1 Myr in total (Hutchinson et al. 2021) with shorter-duration marine extinction events of 5 kyr (Pearson et al. 2008)</t>
  </si>
  <si>
    <t>Climate cooling and reorganisation of ocean circulation with the initiation Antarctic ice sheets</t>
  </si>
  <si>
    <t>Warmhouse</t>
  </si>
  <si>
    <t>Cooling</t>
  </si>
  <si>
    <t>No</t>
  </si>
  <si>
    <t>+1.25 (following Westerhold et al. 2020)</t>
  </si>
  <si>
    <t>‘Grande Coupure’ of mammals, loss of marine plankton and benthos (see Hutchinson et al 2021)</t>
  </si>
  <si>
    <t>~170 kyr</t>
  </si>
  <si>
    <t xml:space="preserve">Hyperthermal </t>
  </si>
  <si>
    <t>Hothouse</t>
  </si>
  <si>
    <t>Warming (+8 °C)</t>
  </si>
  <si>
    <t>Limited?</t>
  </si>
  <si>
    <t>–3 to –5 ‰ (McInerney and Wing 2011)</t>
  </si>
  <si>
    <t>Bolide impact (impact winter) on the background of prolonged Deccan Traps volcanism</t>
  </si>
  <si>
    <t>Greenhouse</t>
  </si>
  <si>
    <t>After extinction</t>
  </si>
  <si>
    <t>–2 ‰</t>
  </si>
  <si>
    <t>Mass extinction, significant loss of biomass</t>
  </si>
  <si>
    <t>Uncertain; possibly the Caribbean–Colombian LIP (Gale et al. 2020)</t>
  </si>
  <si>
    <t>+2.5 ‰ (Gale et al. 2020)</t>
  </si>
  <si>
    <t>20 % loss of species</t>
  </si>
  <si>
    <t>Short-lived (&lt;50 kyr) –1 to –1.5 ‰ excursion followed by longer duration +2 ‰ excursion (Jenkyns 2018; Gale et al. 2020)</t>
  </si>
  <si>
    <t>22 % loss of species</t>
  </si>
  <si>
    <t>T-OAE (Toarcian)</t>
  </si>
  <si>
    <t>~183</t>
  </si>
  <si>
    <t>Likely &gt;1 Myr but possibly as short as ~200 kyr (Hesselbo et al. 2020)</t>
  </si>
  <si>
    <t>Karoo-Ferrar LIP eruption possibly with methane hydrate release (Hesslebo et al. 2020)</t>
  </si>
  <si>
    <t>–4 to –7 ‰ (Hesselbo et al. 2020)</t>
  </si>
  <si>
    <t>End-Triassic</t>
  </si>
  <si>
    <t>Coolhouse</t>
  </si>
  <si>
    <t>Warming (+6 °C)</t>
  </si>
  <si>
    <t>–1.5 ‰ (Foster et al. 2018)</t>
  </si>
  <si>
    <t>Carnian (Triassic)</t>
  </si>
  <si>
    <t>~234</t>
  </si>
  <si>
    <t>~1.7 Myr (though possibly as short as 1.2 Myr; Dal Corso et al. 2020)</t>
  </si>
  <si>
    <t>Wrangellia LIP</t>
  </si>
  <si>
    <t>Transitional (warming trend)</t>
  </si>
  <si>
    <t>Warming (+7 °C)</t>
  </si>
  <si>
    <t>Uncertain</t>
  </si>
  <si>
    <t>Several negative excursions of up to –5 ‰ (Dal Corso et al. 2020)</t>
  </si>
  <si>
    <t>~35 % loss of marine genera, as well as major radiations including of dinoflagellates (Dal Corso et al. 2020)</t>
  </si>
  <si>
    <t>Smithian/Spathian (Triassic)</t>
  </si>
  <si>
    <t>&lt;1 Myr (Ogg et al. 2020)</t>
  </si>
  <si>
    <t>Late-stage Siberian Traps</t>
  </si>
  <si>
    <t>–6 ‰ then +6 ‰</t>
  </si>
  <si>
    <t>Reset of marine biodiversity to earliest Triassic levels (Ogg et al. 2020)</t>
  </si>
  <si>
    <t>~60 ± 48 kyr (Burgess et al. 2014; Shen et al. 2019)</t>
  </si>
  <si>
    <t>Siberian Traps</t>
  </si>
  <si>
    <t>Warming (+10 °C)</t>
  </si>
  <si>
    <t>Probably</t>
  </si>
  <si>
    <t>–8 ‰</t>
  </si>
  <si>
    <t>End-Guadalupian (Capitanian; Permian)</t>
  </si>
  <si>
    <t>~262</t>
  </si>
  <si>
    <t>Both warming and cooling have been invoked</t>
  </si>
  <si>
    <t>Regionally</t>
  </si>
  <si>
    <t>Possibly</t>
  </si>
  <si>
    <t>–6 ‰</t>
  </si>
  <si>
    <t>Hangenberg Event (end-Devonian)</t>
  </si>
  <si>
    <t>Transitional (background cooling)</t>
  </si>
  <si>
    <t>Warming and cooling?</t>
  </si>
  <si>
    <t>+6 ‰</t>
  </si>
  <si>
    <t>Poorly understood; estimates range between ~7 to 50 % marine genus extinction (see Bond &amp; Grasby 2017)</t>
  </si>
  <si>
    <t xml:space="preserve">Cooling pulses of ~3 and ~6 °C in low latitude shallow seas (Huang et al. 2018) </t>
  </si>
  <si>
    <t>+4 ‰</t>
  </si>
  <si>
    <t>One of the ‘Big 5’ with a particularly pronounced loss of reef ecosystems</t>
  </si>
  <si>
    <t>Taghanic Event (Giventian, Middle Devonian)</t>
  </si>
  <si>
    <t>Uncertain; perhaps ~1 to 2 Myr; diachronous main extinction pulse</t>
  </si>
  <si>
    <t>Uncertain; climatic instability?</t>
  </si>
  <si>
    <t>Possibly extreme warming (“overheating”) at the start of a protracted warming trend (Becker et al. 2020)</t>
  </si>
  <si>
    <t>+2 ‰</t>
  </si>
  <si>
    <t>Pelagic extinctions (including goniatites) preceded benthic extinctions (including reef ecosystem taxa)</t>
  </si>
  <si>
    <t>Kačák Event (Eifelian, Middle Devonian)</t>
  </si>
  <si>
    <t xml:space="preserve">~370 kyr with main anoxic pulse ~100 kyr (Kabanov et al. 2023) </t>
  </si>
  <si>
    <t>Transitional (becoming warmhouse?)</t>
  </si>
  <si>
    <t xml:space="preserve">Possibly (loss of benthic carbonate production; Kabanov et al. 2023) </t>
  </si>
  <si>
    <t>Several ±1 to 1.5 ‰ CIEs (Kabanov et al. 2023)</t>
  </si>
  <si>
    <t>Multiphase event with between 6 to 32 % genus extinction</t>
  </si>
  <si>
    <t>Lau Event (Ludfordian, Ludlow, Silurian)</t>
  </si>
  <si>
    <t>Uncertain; possible ecosystem collapse</t>
  </si>
  <si>
    <t xml:space="preserve">Extinction of conodonts and graptolites; possible major loss of primary productivity; 20 to 25 % marine genus extinction? </t>
  </si>
  <si>
    <t>Mulde Event (Homerian, Wenlock, Silurian)</t>
  </si>
  <si>
    <t>Uncertain; possibly 2 Myr in total; the first excursion may be very short</t>
  </si>
  <si>
    <t>+4 ‰ (double-spike excursion of +4 ‰ followed by a partial recovery to ~2 ‰ and additional +1 ‰ spike before full recovery)</t>
  </si>
  <si>
    <t>Extinction of conodonts and graptolites; possible major loss of primary productivity; 20 to 25 % marine genus extinction?</t>
  </si>
  <si>
    <t>Ireviken Event (Sheinwoodian, Wenlock, Silurian)</t>
  </si>
  <si>
    <t>Uncertain; possibly ~1 to 1.5 Myr with a protracted recovery phase?</t>
  </si>
  <si>
    <t>+3 ‰ then –5 ‰</t>
  </si>
  <si>
    <t>Cooling, lower sea level and loss of marine shelf LOME1; followed by warming and ocean anoxia LOME2</t>
  </si>
  <si>
    <t>Cooling followed by warming?</t>
  </si>
  <si>
    <t>+7 ‰ then –7 ‰</t>
  </si>
  <si>
    <t>One of the ‘Big 5’; ~43 to 73 % marine genus extinction</t>
  </si>
  <si>
    <t>Steptoean Positive Carbon Isotope Excursion (SPICE) / End-Marjuman Biomere Extinction (EMBE; Paibian, Cambrian)</t>
  </si>
  <si>
    <t>~2.6 Myr (Farrell et al. 2025)</t>
  </si>
  <si>
    <t>Hothouse or warmhouse</t>
  </si>
  <si>
    <t>Possible cooling</t>
  </si>
  <si>
    <t>+5 ‰</t>
  </si>
  <si>
    <t>Trilobite biotope extinctions</t>
  </si>
  <si>
    <t>~507 (following revised age of 506.5 Ma for the base of the Miaolingian)</t>
  </si>
  <si>
    <t>Uncertain; possibly &lt;1 Myr</t>
  </si>
  <si>
    <t>Uncertain; possibly Kalkarindji LIP</t>
  </si>
  <si>
    <t>Possible warming</t>
  </si>
  <si>
    <t>–4 to –5 ‰</t>
  </si>
  <si>
    <t>Global trilobite extinction</t>
  </si>
  <si>
    <t>~513</t>
  </si>
  <si>
    <t>–4 ‰</t>
  </si>
  <si>
    <t>Major extinctions of archaeocyathan reefs and hyoliths and possibly of metazoan phylum stem groups</t>
  </si>
  <si>
    <t>Pripyat-Dnieper-Donets rift system volcanism? Viluy Traps? Siljan Ring? Climatic instability?</t>
  </si>
  <si>
    <t>uncertain</t>
  </si>
  <si>
    <t>business as usual</t>
  </si>
  <si>
    <t>background_climate</t>
  </si>
  <si>
    <t>ETME</t>
  </si>
  <si>
    <t>Sinsk Event / Archaeocyath Extinction Carbon isotope Excursion (AECE; Cambrian Stage 4)</t>
  </si>
  <si>
    <t>Redlichiid-Olenellid trilobite Extinction Carbon isotope Excursion (ROECE; Cambrian Stage 4–Miaolingian boundary)</t>
  </si>
  <si>
    <t>Eocene-Oligocene transition</t>
  </si>
  <si>
    <t>Benton MJ, Wilf P, Sauquet H. 2022 The Angiosperm Terrestrial Revolution and the origins of modern biodiversity. New Phytologist 233, 2017–2035. (doi:10.1111/nph.17822)</t>
  </si>
  <si>
    <t>OAE2</t>
  </si>
  <si>
    <t>OAE1a</t>
  </si>
  <si>
    <t>TOAE</t>
  </si>
  <si>
    <t>SPICE</t>
  </si>
  <si>
    <t>ROECE</t>
  </si>
  <si>
    <t>AECE</t>
  </si>
  <si>
    <t>reference</t>
  </si>
  <si>
    <t>Foster et al 2018</t>
  </si>
  <si>
    <t>unspecified</t>
  </si>
  <si>
    <t>Lau</t>
  </si>
  <si>
    <t>Speijer et al 2012</t>
  </si>
  <si>
    <t>EOT</t>
  </si>
  <si>
    <t>Keller 1986</t>
  </si>
  <si>
    <t>mammals</t>
  </si>
  <si>
    <t>Weppe et al 2023</t>
  </si>
  <si>
    <t>Mulde</t>
  </si>
  <si>
    <t>Tith</t>
  </si>
  <si>
    <t>Warming (+5 °C in tropics)</t>
  </si>
  <si>
    <t>Frasnian-Famenian (Late Devonian)</t>
  </si>
  <si>
    <t>Serpukhovian (late Mississippian; Carboniferous)</t>
  </si>
  <si>
    <t>Stanley 2016</t>
  </si>
  <si>
    <t>McGhee et al 2015</t>
  </si>
  <si>
    <t xml:space="preserve">Chen J, Wang X, Isson T, Gibert Z, Montañez IP, Shen S. 2025 Serpukhovian mass extinction linked to interglacial warming and marine anoxia. GOLDSCHMIDT. </t>
  </si>
  <si>
    <t>Chen et al 2025</t>
  </si>
  <si>
    <t>Wiens &amp; Zelinka 2024</t>
  </si>
  <si>
    <t>notes</t>
  </si>
  <si>
    <t>global</t>
  </si>
  <si>
    <t>Benton et al 2022</t>
  </si>
  <si>
    <t>angiosperms alone account for approximately two thirds of the total species of modern biodiverse terrestrial clades; this is a lower estimate as it does not account for symbiotic species</t>
  </si>
  <si>
    <t>Wiens JJ, Zelinka J. 2024 How many species will Earth lose to climate change? Global Change Biology 30, e17125. (doi:10.1111/gcb.17125)</t>
  </si>
  <si>
    <t>Wiens &amp; Zelinka  2024</t>
  </si>
  <si>
    <t>global macroscopic</t>
  </si>
  <si>
    <t>interval_name</t>
  </si>
  <si>
    <t>&lt;1 Myr in total (Hutchinson et al 2021) with shorter-duration marine extinction events of 5 kyr (Pearson et al 2008)</t>
  </si>
  <si>
    <t>Piedrahita VA, Heslop D, Roberts AP, Rohling EJ, Galeotti S, Florindo F, Li J. 2025 Assessing the Duration of the Paleocene-Eocene Thermal Maximum. Geophysical Research Letters 52, e2024GL113117. (doi:10.1029/2024GL113117)</t>
  </si>
  <si>
    <t>Piedrahita et al 2025</t>
  </si>
  <si>
    <t>total duration ~270 ± 20 kyr of which 145 to 195 kyr comprises CIE recovery following Piedrahita et al 2025</t>
  </si>
  <si>
    <t>Sm-Sp</t>
  </si>
  <si>
    <t>Kacak</t>
  </si>
  <si>
    <t>change_type</t>
  </si>
  <si>
    <t>change_metric</t>
  </si>
  <si>
    <t>change_value</t>
  </si>
  <si>
    <t>species</t>
  </si>
  <si>
    <t>percent</t>
  </si>
  <si>
    <t>change_group</t>
  </si>
  <si>
    <t>benthic foraminifera</t>
  </si>
  <si>
    <t>planktic foraminifera</t>
  </si>
  <si>
    <t>global marine</t>
  </si>
  <si>
    <t>global terrestrial</t>
  </si>
  <si>
    <t>marine invertebrates</t>
  </si>
  <si>
    <t>terrestrial vertebrates</t>
  </si>
  <si>
    <t>genus</t>
  </si>
  <si>
    <t>Clyde et al 2016</t>
  </si>
  <si>
    <t>Clyde WC, Ramezani J, Johnson KR, Bowring SA, Jones MM. 2016 Direct high-precision U–Pb geochronology of the end-Cretaceous extinction and calibration of Paleocene astronomical timescales. Earth and Planetary Science Letters 452, 272–280. (doi:10.1016/j.epsl.2016.07.041)</t>
  </si>
  <si>
    <t>Bambach RK. 2006 Phanerozoic Biodiversity Mass Extinctions. Annual Review of Earth and Planetary Sciences 34, 127–155. (doi:10.1146/annurev.earth.33.092203.122654)</t>
  </si>
  <si>
    <t>Gangl SK, Moy CM, Stirling CH, Jenkyns HC, Crampton JS, Clarkson MO, Ohneiser C, Porcelli D. 2019 High-resolution records of Oceanic Anoxic Event 2: Insights into the timing, duration and extent of environmental perturbations from the palaeo-South Pacific Ocean. Earth and Planetary Science Letters 518, 172–182. (doi:10.1016/j.epsl.2019.04.028)</t>
  </si>
  <si>
    <t>Gangl et al 2019</t>
  </si>
  <si>
    <t>Charbonnier G, Boulila S, Spangenberg JE, Adatte T, Föllmi KB, Laskar J. 2018 Obliquity pacing of the hydrological cycle during the Oceanic Anoxic Event 2. Earth and Planetary Science Letters 499, 266–277. (doi:10.1016/j.epsl.2018.07.029)</t>
  </si>
  <si>
    <t>Charbonnier et al 2018</t>
  </si>
  <si>
    <t>GTS 2020 estimate of ~500 kyr (Gale et al 2020); astrochronological estimates suggest &gt;930 kyr for the whole event and ~30 kyr for the onset (Gangl et al 2019)</t>
  </si>
  <si>
    <t>Li et al 2024</t>
  </si>
  <si>
    <t>Li Y et al. 2024 Radioisotopic chronology of Ocean Anoxic Event 1a: Framework for analysis of driving mechanisms. Science Advances 10, eadn8365. (doi:10.1126/sciadv.adn8365)</t>
  </si>
  <si>
    <t>GTS 2020 estimate of ~1.1 Myr (Gale et al 2020); radiometric constraints agree giving 1.116 +0.087/-0.093 Myr with an onset duration of ~0.115 Myr (Li et al 2024)</t>
  </si>
  <si>
    <t>Reershemius T, Planavsky NJ. 2021 What controls the duration and intensity of ocean anoxic events in the Paleozoic and the Mesozoic? Earth-Science Reviews 221, 103787. (doi:10.1016/j.earscirev.2021.103787)</t>
  </si>
  <si>
    <t>Reershemius &amp; Planavsky 2021</t>
  </si>
  <si>
    <t>Boulila et al 2019</t>
  </si>
  <si>
    <t>Boulila S, Galbrun B, Sadki D, Gardin S, Bartolini A. 2019 Constraints on the duration of the early Toarcian T-OAE and evidence for carbon-reservoir change from the High Atlas (Morocco). Global and Planetary Change 175, 113–128. (doi:10.1016/j.gloplacha.2019.02.005)</t>
  </si>
  <si>
    <t>GTS 2020 estimate of 200 kyr to &gt;1 Myr duration (Hesselbo et al 2020); Boulila et al 2019 support a duration of ~400 to 500 kyr including an onset within one obliquity cycle (~40 kyr)</t>
  </si>
  <si>
    <t>Schoepfer SD, Algeo TJ, van de Schootbrugge B, Whiteside JH. 2022 The Triassic–Jurassic transition – A review of environmental change at the dawn of modern life. Earth-Science Reviews 232, 104099. (doi:10.1016/j.earscirev.2022.104099)</t>
  </si>
  <si>
    <t>Schoepfer et al 2022</t>
  </si>
  <si>
    <t>~1.2 Myr (Schoepfer et al 2022)</t>
  </si>
  <si>
    <t>Blackburn TJ, Olsen PE, Bowring SA, McLean NM, Kent DV, Puffer J, McHone G, Rasbury ET, Et-Touhami M. 2013 Zircon U-Pb Geochronology Links the End-Triassic Extinction with the Central Atlantic Magmatic Province. Science 340, 941–945. (doi:10.1126/science.1234204)</t>
  </si>
  <si>
    <t>Blackburn et al 2013</t>
  </si>
  <si>
    <t>Yager JA, West AJ, Corsetti FA, Berelson WM, Rollins NE, Rosas S, Bottjer DJ. 2017 Duration of and decoupling between carbon isotope excursions during the end-Triassic mass extinction and Central Atlantic Magmatic Province emplacement. Earth and Planetary Science Letters 473, 227–236. (doi:10.1016/j.epsl.2017.05.031)</t>
  </si>
  <si>
    <t>Yager et al 2017</t>
  </si>
  <si>
    <t>zircon dates suggest an ~100 kyr duration for the event (Blackburn et al 2013); astrochronological calibration suggests ETME could have been as short as 20 to 40 kyr duration with a 120 kyr pre-recovery phase (Ruhl et al 2010) though a more recent study found a longer duration of 85 ± 25 kyr for the main event and a total excursion duration of 1.09 ± 0.07 Myr (Yager et al 2017)</t>
  </si>
  <si>
    <t>Dal Corso et al 2020</t>
  </si>
  <si>
    <t>Dal Corso J et al. 2020 Extinction and dawn of the modern world in the Carnian (Late Triassic). Science Advances 6, eaba0099. (doi:10.1126/sciadv.aba0099)</t>
  </si>
  <si>
    <t>Dal Corso et al 2020 following Sepkoski 1996</t>
  </si>
  <si>
    <t>osteichthyans</t>
  </si>
  <si>
    <t>Romano C, Koot MB, Kogan I, Brayard A, Minikh AV, Brinkmann W, Bucher H, Kriwet J. 2016 Permian–Triassic Osteichthyes (bony fishes): diversity dynamics and body size evolution. Biological Reviews 91, 106–147. (doi:10.1111/brv.12161)</t>
  </si>
  <si>
    <t>Romano et al 2016</t>
  </si>
  <si>
    <t>decline in all osetichthyan groups across Ladinian-Carnian boundary ranges from 51 to 62 %</t>
  </si>
  <si>
    <t>Bernardi M, Gianolla P, Petti FM, Mietto P, Benton MJ. 2018 Dinosaur diversification linked with the Carnian Pluvial Episode. Nat Commun 9, 1499. (doi:10.1038/s41467-018-03996-1)</t>
  </si>
  <si>
    <t>Bernardi et al 2018</t>
  </si>
  <si>
    <t>Miller et al 2017</t>
  </si>
  <si>
    <t>Miller CS, Peterse F, da Silva A-C, Baranyi V, Reichart GJ, Kürschner WM. 2017 Astronomical age constraints and extinction mechanisms of the Late Triassic Carnian crisis. Sci Rep 7, 2557. (doi:10.1038/s41598-017-02817-7)</t>
  </si>
  <si>
    <t>astrochronology calibrates five short-lived CIEs to a total duration of 1.09 Myr (Miller et al 2017); other astrochronology agrees that the interval spans two to three 405 kyr cycles with a total duration of 0.8 to 1.2 Myr (Zhang et al 2015)</t>
  </si>
  <si>
    <t>Zhang Y, Li M, Ogg JG, Montgomery P, Huang C, Chen Z-Q, Shi Z, Enos P, Lehrmann DJ. 2015 Cycle-calibrated magnetostratigraphy of middle Carnian from South China: Implications for Late Triassic time scale and termination of the Yangtze Platform. Palaeogeography, Palaeoclimatology, Palaeoecology 436, 135–166. (doi:10.1016/j.palaeo.2015.05.033)</t>
  </si>
  <si>
    <t>Zhang et al 2015</t>
  </si>
  <si>
    <t>Goudemand N, Romano C, Leu M, Bucher H, Trotter JA, Williams IS. 2019 Dynamic interplay between climate and marine biodiversity upheavals during the early Triassic Smithian -Spathian biotic crisis. Earth-Science Reviews 195, 169–178. (doi:10.1016/j.earscirev.2019.01.013)</t>
  </si>
  <si>
    <t>Goudemand et al 2019</t>
  </si>
  <si>
    <t>poorly constrained; GTS 2020 estimates &lt;1 Myr duration (Ogg et al 2020); biozones in Goudemand et al 2019 suggest up to 1.8 Myr is plausible</t>
  </si>
  <si>
    <t>Hua et al 2023</t>
  </si>
  <si>
    <t>Hua F, Shao L, Zhang T, Bond DPG, Wang X, Wang J, Yan Z, Lu J, Hilton J. 2023 An astronomical timescale for the Permian-Triassic mass extinction reveals a two-step, million-year-long terrestrial crisis in South China. Earth and Planetary Science Letters 605, 118035. (doi:10.1016/j.epsl.2023.118035)</t>
  </si>
  <si>
    <t>Burgess et al 2014</t>
  </si>
  <si>
    <t>Burgess SD, Bowring S, Shen S. 2014 High-precision timeline for Earth’s most severe extinction. Proceedings of the National Academy of Sciences 111, 3316–3321. (doi:10.1073/pnas.1317692111)</t>
  </si>
  <si>
    <t>Mangano et al 2024</t>
  </si>
  <si>
    <t>Mángano MG, Buatois LA, Minter NJ, Gougeon R. 2024 Bioturbators as ecosystem engineers in space and time. Palaeontology 67, e12732. (doi:10.1111/pala.12732)</t>
  </si>
  <si>
    <t>Gumsley AP, Chamberlain KR, Bleeker W, Söderlund U, de Kock MO, Larsson ER, Bekker A. 2017 Timing and tempo of the Great Oxidation Event. Proceedings of the National Academy of Sciences 114, 1811–1816. (doi:10.1073/pnas.1608824114)</t>
  </si>
  <si>
    <t>Gumsley et al 2017</t>
  </si>
  <si>
    <t>uncertain; likely a mid-Capitanian event &lt;4 Myr duration and within the Jinogondolella altudaensis and Jinogondolella prexuanhanensis biozones possibly 1.5 Myr (Bond et al 2019)</t>
  </si>
  <si>
    <t>Capel E, Monnet C, Cleal CJ, Xue J, Servais T, Cascales-Miñana B. 2023 The effect of geological biases on our perception of early land plant radiation. Palaeontology 66, e12644. (doi:10.1111/pala.12644)</t>
  </si>
  <si>
    <t>Capel et al 2023</t>
  </si>
  <si>
    <t>Singh et al 2025</t>
  </si>
  <si>
    <t>Singh P, Ferré J, Thrasher B, Monarrez PM, Al-Ramadan K, Cantrell DL, Lehrmann DJ, Morsilli M, Payne JL. 2025 Macroevolutionary coupling of marine biomass and biodiversity across the Phanerozoic. Current Biology (doi:10.1016/j.cub.2025.06.006)</t>
  </si>
  <si>
    <t>Xu Z et al. 2025 Early Triassic super-greenhouse climate driven by vegetation collapse. Nat Commun 16, 5400. (doi:10.1038/s41467-025-60396-y)</t>
  </si>
  <si>
    <t>Xu et al 2025</t>
  </si>
  <si>
    <t>biomass</t>
  </si>
  <si>
    <t>terrestrial primary productivity</t>
  </si>
  <si>
    <t>HANPP from PBScience 2025</t>
  </si>
  <si>
    <t>PBScience 2025</t>
  </si>
  <si>
    <t>Planetary Boundaries Science (PBScience). 2025 Planetary Health Check 2025. Potsdam Institute for Climate Impact Research (PIK), Potsdam, Germany (doi:10.48485/pik.2025.017)</t>
  </si>
  <si>
    <t>Wiens &amp; Saban 2025</t>
  </si>
  <si>
    <t>Wiens JJ, Saban KE. 2025 Recent extinctions of plant and animal genera are rare, localized, and decelerated. PLOS Biology 23, e3003356. (doi:10.1371/journal.pbio.3003356)</t>
  </si>
  <si>
    <t>values from extinct genera as proportion of IUCN assessed genera</t>
  </si>
  <si>
    <t>global animals</t>
  </si>
  <si>
    <t>global plants</t>
  </si>
  <si>
    <t>extinction rate of all included genera with values from extinct genera as proportion of IUCN assessed genera</t>
  </si>
  <si>
    <t>extinction rate of all included plant genera with values from extinct genera as proportion of IUCN assessed genera</t>
  </si>
  <si>
    <t>extinction rate of all included animal genera with values from extinct genera as proportion of IUCN assessed genera</t>
  </si>
  <si>
    <t>average genus extinction rate by phylum with values from extinct genera as proportion of IUCN assessed genera</t>
  </si>
  <si>
    <t>birds</t>
  </si>
  <si>
    <t>Schuettpelz E, Rouhan G, Pryer KM, Rothfels CJ, Prado J, Sundue MA, Windham MD, Moran RC, Smith AR. 2018 Are there too many fern genera? TAXON 67, 473–480. (doi:10.12705/673.1)</t>
  </si>
  <si>
    <t>Schuettpelz et al 2018</t>
  </si>
  <si>
    <t>vertebrates</t>
  </si>
  <si>
    <t>estimate</t>
  </si>
  <si>
    <t>our calculated estimate with details provided in notes</t>
  </si>
  <si>
    <t>assume increase from ~200 Ediacaran species (Wong Hearing et al 2025; excluding ichnotaxa) to 2091 species in the Paleobiology Database for Cambrian Series 2</t>
  </si>
  <si>
    <t>assume increase from ~150 Ediacaran genera (Wong Hearing et al 2025; excluding ichnotaxa) to 1575 genera in the Paleobiology Database for Cambrian Series 2</t>
  </si>
  <si>
    <t>habitable shelf space</t>
  </si>
  <si>
    <t>Myrow et al 2024</t>
  </si>
  <si>
    <t>Myrow PM, Goodge JW, Brock GA, Betts MJ, Park T-YS, Hughes NC, Gaines RR. 2024 Tectonic trigger to the first major extinction of the Phanerozoic: The early Cambrian Sinsk event. Science Advances 10, eadl3452. (doi:10.1126/sciadv.adl3452)</t>
  </si>
  <si>
    <t>Zhuravlev et al 2023</t>
  </si>
  <si>
    <t>Zhuravlev AYu, Wood RA, Bowyer FT. 2023 Cambrian radiation speciation events driven by sea level and redoxcline changes on the Siberian Craton. Science Advances 9, eadh2558. (doi:10.1126/sciadv.adh2558)</t>
  </si>
  <si>
    <t>poorly constrained; maximum age range between 514.45 ± 0.36 Ma to 511.87 ± 0.14 Ma (Myrow et al 2024) but likely on the order of 1 Myr or less (Zhuravlev et al 2023)</t>
  </si>
  <si>
    <t>Jamart V, Pas D, Adatte T, Spangenberg JE, Laibl L, Daley AC. 2025 The Cambrian ROECE and DICE carbon isotope excursions in western Gondwana (Montagne Noire, southern France): Implications for regional and global correlations of the Miaolingian Series. Palaeogeography, Palaeoclimatology, Palaeoecology 670, 112951. (doi:10.1016/j.palaeo.2025.112951)</t>
  </si>
  <si>
    <t>Jamart et al 2025</t>
  </si>
  <si>
    <t>very poorly constrained; likely a short event &lt;1 Myr at or near the Cambrian Series 2-Miaolingian boundary (Jamart et al 2025)</t>
  </si>
  <si>
    <t>Farrell et al 2025</t>
  </si>
  <si>
    <t>Farrell TP, Cothren HR, Sundberg FA, Schmitz MD, Dehler CM, Landing E, Karlstrom KE, Crossey LJ, Hagadorn JW. 2025 Revising the late Cambrian time scale and the duration of the SPICE event using a novel Bayesian age modeling approach. GSA Bulletin 137, 3093–3118. (doi:10.1130/B37919.1)</t>
  </si>
  <si>
    <t>radiometrically constrained to 2.6 +0.9/-0.8 Myr duration (Farrell et al 2025)</t>
  </si>
  <si>
    <t>poorly constrained</t>
  </si>
  <si>
    <t>Possibly interglacial warming plus associated marine anoxia (Chen et al. 2025) and prolonged unstable ocean redox conditions (Hu et al. 2022) around the onset or early intensification of LPIA glaciation (Montanez &amp; Poulsen 2013)</t>
  </si>
  <si>
    <t>Coldhouse</t>
  </si>
  <si>
    <t>redox instability and biotic crises span the Serpukhovian Stage which is ~7 Myr duration (e.g. Hu et al 2022)</t>
  </si>
  <si>
    <t>Myrow et al 2014</t>
  </si>
  <si>
    <t>Myrow PM, Ramezani J, Hanson AE, Bowring SA, Racki G, Rakociński M. 2014 High-precision U–Pb age and duration of the latest Devonian (Famennian) Hangenberg event, and its implications. Terra Nova 26, 222–229. (doi:10.1111/ter.12090)</t>
  </si>
  <si>
    <t>Kaiser et al 2016</t>
  </si>
  <si>
    <t>Kaiser SI, Aretz M, Becker RT. 2016 The global Hangenberg Crisis (Devonian–Carboniferous transition): review of a first-order mass extinction. In Devonian Climate, Sea Level and Evolutionary Events (eds RT Becker, P Königshof, CE Brett), p. 0. Geological Society of London. (doi:10.1144/SP423.9)</t>
  </si>
  <si>
    <t>radiometric constraints suggest ~50 to 100 kyr for deposition of the Hangenberg Shale (Myrow et al 2014) with the whole interval perhaps up to 300 kyr</t>
  </si>
  <si>
    <t>De Vleeschouwer et al 2017</t>
  </si>
  <si>
    <t>De Vleeschouwer D, Da Silva A-C, Sinnesael M, Chen D, Day JE, Whalen MT, Guo Z, Claeys P. 2017 Timing and pacing of the Late Devonian mass extinction event regulated by eccentricity and obliquity. Nat Commun 8, 2268. (doi:10.1038/s41467-017-02407-1)</t>
  </si>
  <si>
    <t>Da Silva A-C, Sinnesael M, Claeys P, Davies JHFL, de Winter NJ, Percival LME, Schaltegger U, De Vleeschouwer D. 2020 Anchoring the Late Devonian mass extinction in absolute time by integrating climatic controls and radio-isotopic dating. Sci Rep 10, 12940. (doi:10.1038/s41598-020-69097-6)</t>
  </si>
  <si>
    <t>Da Silva et al 2020</t>
  </si>
  <si>
    <t>~600 kyr between the Lower and Upper Kellwasser events (De Vleeschouwer et al 2017) with each event lasting ~90 and 110 kyrs (Da Silva et al 2020)</t>
  </si>
  <si>
    <t>Inception (millions of years ago)</t>
  </si>
  <si>
    <t>Geological interval</t>
  </si>
  <si>
    <t>Key Earth System changes</t>
  </si>
  <si>
    <t>Key impacts on the incumbent biosphere</t>
  </si>
  <si>
    <t>Long term impact (for e.g. on complexity, functional and taxonomic biodiversity, biomass)</t>
  </si>
  <si>
    <t>Horizontal gene transfer</t>
  </si>
  <si>
    <t>4100-3700</t>
  </si>
  <si>
    <t xml:space="preserve">May have been instrumental in enabling life to cross the Gaian bottleneck, facilitating  innovations that regulated a habitable environment over long timeframes, i.e. maintaining liquid water at Earth's surface over billions of years. Therefore, also fundamental for maintaining plate tectonics and a dynamic rock cycle </t>
  </si>
  <si>
    <t>Positive: increased adaptation, emergence of new traits, ability to colonise new niches, enhanced functional diversity                                                Negative: increased functional diversity may have impacted taxonomic diversity via competitive replacement</t>
  </si>
  <si>
    <t>RuBisCO enzyme</t>
  </si>
  <si>
    <t>early Archean</t>
  </si>
  <si>
    <t>Ultimately enabled the development of an oxygenated atmosphere and hydrosphere. Enabled the biosphere to become global (and independent of primary chemical sources of energy). Underpins the acquisition of the primary source of chemical energy for life</t>
  </si>
  <si>
    <t>Positive: enabled fixation of CO2 as organic carbon and thus increased productivity and ultimately biomass</t>
  </si>
  <si>
    <t>Positive: RuBisCO is essential for photosynthesis and is the most abundant enzyme in the world; fundamental to underpining marine and terrestrial foodwebs</t>
  </si>
  <si>
    <t>Oxygenic photosynthesis</t>
  </si>
  <si>
    <t xml:space="preserve">Archean-Proterozoic boundary </t>
  </si>
  <si>
    <t>Great Oxidation (Oxygenation) Event, oxygenation of the atmosphere and hydrosphere, oxidation of surface rocks and minerals (geosphere), impact on global climate and cryosphere (cooling and snowball glaciation)</t>
  </si>
  <si>
    <t>Negative: lethal to anaerobic ecologies, likely large scale extinction and short term biomass loss</t>
  </si>
  <si>
    <t>Positive: enabled the surface biosphere to become largely independent of chemical sources of energy, and thus global in extent, utilising light, CO2 and water as the basis for building biomass. Increased biomass, ultimately leading to most (80% +) being locked in the tissues of land plants.  Facilitated development of oxidative phosphorylation, providing much more energy to living cells than anaerobic respiration</t>
  </si>
  <si>
    <t>Symbiogenesis (Eukarya)</t>
  </si>
  <si>
    <t>10s to 100s?</t>
  </si>
  <si>
    <t>Enabled a much more complex biosphere as the building blocks of most multicellular organsisms, and over time thereby extended plantetary habitability (e.g. terrestrialization), changed numerous geochemical cycles (phosphorous, nitrogen, carbon, silica), facilitated the construction of large structures from reefs to forests</t>
  </si>
  <si>
    <t>Positive: provided a greater range of habitats for bacterial and archaen symbionts to co-exist with; increased ecological adaptability</t>
  </si>
  <si>
    <t>Positive: facilitated the evolution of a multitude of morphologies from tiny unicells to giant trees. Provided a much greater range of habitats/niches for organisms to co-habit, for example bacteria in mammal guts or dinoflagellates in coral reefs. Through the evolution of plants, greatly increased the biomass on Earth and extended habitability onto land</t>
  </si>
  <si>
    <t>Refashioned seabeds through the Cambrian agronomic revolution, refashioned biogeochemical cycles on the land and in the sea, for example the development of the fecal stream (marine snow) in the oceans, and changes to the marine sulfur cycle (see opposite) as a result of marine burrowing organisms</t>
  </si>
  <si>
    <t>Negative: demise of marine microbial mat communities and associated mat 'miners' that characterised the Ediacaran, reduced ecospace for sulfate reducing organisms in marine sediments</t>
  </si>
  <si>
    <t>Positive: instrumental in developing complex marine and terrestrial foodwebs from primary consumers (like ostracods) to tertiary/apex predators (like sharks), thereby facilitating greater taxonomic and functional diversity. Essential for recycling biomass.</t>
  </si>
  <si>
    <t>Terrestrialization of plants</t>
  </si>
  <si>
    <t>Ordovician</t>
  </si>
  <si>
    <t>Changes to hydrology and landforms (meandering rivers), changed terrestrial weathering patterns. Changes to Earth's atmosphere (increased oxygen, especially in the Carboniferous Period)</t>
  </si>
  <si>
    <t>Positive: extension of planetary habitability onto land, forging and extension of symbioses between plants and fungi</t>
  </si>
  <si>
    <t>Positive: enhanced overall biomass, with most concentrated on land; fostered complex interactions between plants, animals, fungi and microbes that enabled greater planetary habitability</t>
  </si>
  <si>
    <t>Cretaceous</t>
  </si>
  <si>
    <t>Enhanced habitability of tropical wet biomes</t>
  </si>
  <si>
    <t xml:space="preserve">Negative: competitive replacement of gymnosperm plants                                                                      </t>
  </si>
  <si>
    <t>Pleistocene</t>
  </si>
  <si>
    <t>Reduced planetary habitability, transgression of planetary boundaries, including excessive appropriation of net primary production from the biosphere  (for one species), reduction of  wild biomass, changes to atmospheric composition, hydrology, ocean chemistry</t>
  </si>
  <si>
    <t>Negative: significant loss of taxonomic and functional diversity (extinction levels 1000x background levels); loss of biomass (by half in the past 10 kyr)</t>
  </si>
  <si>
    <t>nascent for millennia (indigenous), re-emerging</t>
  </si>
  <si>
    <t>Contemporary</t>
  </si>
  <si>
    <t xml:space="preserve">Engineering improved CO2 fixation (improving RuBisCO), fostering land interactions that enable biodiversity (e.g. learning from local knowledge/practices), protecting marine biodiversity, reducing rapid changes to atmsopheric composition and ocean chemistry and thereby enabling life to cross the destruction bottleneck </t>
  </si>
  <si>
    <t>Positive: reverses biodiversity decline, accommodates ecologies with reconfigured complements of species (in novel ecologies), fosters biodiverse land and seascapes, fosters mutualism, hybridisation and speciation</t>
  </si>
  <si>
    <t>Positive: increased productivity, enhanced biodiversity in novel and human maintained ecosystems (land sparing and land sharing), maintenance and extension of marine protected areas, enhanced mutualism and symbioses</t>
  </si>
  <si>
    <t>Palaeoproterozoic</t>
  </si>
  <si>
    <t>Eukaryogenesis</t>
  </si>
  <si>
    <t>Land plant evolution</t>
  </si>
  <si>
    <t>event_duration_min_yr</t>
  </si>
  <si>
    <t>event_duration_max_yr</t>
  </si>
  <si>
    <t>event_duration_est_yr</t>
  </si>
  <si>
    <t>event_duration_notes</t>
  </si>
  <si>
    <t>minimum duration of human impacts on decadal scale; minimum duration 150 years by definition; maximum duration up to 50 kyr human impact; most impact likely in 300 years before 2100</t>
  </si>
  <si>
    <t>Recent past</t>
  </si>
  <si>
    <t>humans so far</t>
  </si>
  <si>
    <t>Angiosperm Revolution</t>
  </si>
  <si>
    <t>Warmhouse to hothouse</t>
  </si>
  <si>
    <t>Donoghue et al 2021</t>
  </si>
  <si>
    <t>Donoghue PCJ, Harrison CJ, Paps J, Schneider H. 2021 The evolutionary emergence of land plants. Current Biology 31, R1281–R1298. (doi:10.1016/j.cub.2021.07.038)</t>
  </si>
  <si>
    <t>initial colonisation in late Cambrian or Early Ordovician (Morrie et al 2018; Donoghue et al 2021); main revolution began in the late Silurian ~430 Ma with an initial peak of genus and species diversity in the Early Devonian ~400 Ma and a largely established terrestrial plant biosphere by the Late Devonian ~360 Ma (Capel et al 2023)</t>
  </si>
  <si>
    <t>Morris JL et al. 2018 The timescale of early land plant evolution. Proceedings of the National Academy of Sciences 115, E2274–E2283. (doi:10.1073/pnas.1719588115)</t>
  </si>
  <si>
    <t>Morris et al 2018</t>
  </si>
  <si>
    <t>Carn</t>
  </si>
  <si>
    <t>Capt</t>
  </si>
  <si>
    <t>Serp</t>
  </si>
  <si>
    <t>Hang</t>
  </si>
  <si>
    <t>Tagh</t>
  </si>
  <si>
    <t>Irev</t>
  </si>
  <si>
    <t>land plants</t>
  </si>
  <si>
    <t>angiosperms</t>
  </si>
  <si>
    <t>bioturbation</t>
  </si>
  <si>
    <t>eukaryotes</t>
  </si>
  <si>
    <t>Mills et al 2022</t>
  </si>
  <si>
    <t>Mills DB, Boyle RA, Daines SJ, Sperling EA, Pisani D, Donoghue PCJ, Lenton TM. 2022 Eukaryogenesis and oxygen in Earth history. Nat Ecol Evol 6, 520–532. (doi:10.1038/s41559-022-01733-y)</t>
  </si>
  <si>
    <t>inception ~2.22 Ga (Mills et al 2022); duration estimated at tens to hundreds of millions of years with effects spanning billion year timescales</t>
  </si>
  <si>
    <t>event duration ~200 Myr (Gumsley et al 2017) with effects lasting through eukaryote evolution on billion year timescales</t>
  </si>
  <si>
    <t>Jurassic-Cretaceous extinction (Tithonian)</t>
  </si>
  <si>
    <t>highly uncertain magnitude and duration; less than 5 Myr</t>
  </si>
  <si>
    <t>Gibson et al 2018</t>
  </si>
  <si>
    <t>Gibson TM et al. 2018 Precise age of Bangiomorpha pubescens dates the origin of eukaryotic photosynthesis. Geology 46, 135–138. (doi:10.1130/G39829.1)</t>
  </si>
  <si>
    <t>Miao et al 2024</t>
  </si>
  <si>
    <t>Miao L, Yin Z, Knoll AH, Qu Y, Zhu M. 2024 1.63-billion-year-old multicellular eukaryotes from the Chuanlinggou Formation in North China. Science Advances 10, eadk3208. (doi:10.1126/sciadv.adk3208)</t>
  </si>
  <si>
    <t>Late Ordovician Mass Extinction</t>
  </si>
  <si>
    <t>various</t>
  </si>
  <si>
    <t>Warmhouse or hothouse</t>
  </si>
  <si>
    <t>2100 transient - business as usual</t>
  </si>
  <si>
    <t>Bond &amp; Grasby 2017</t>
  </si>
  <si>
    <t>Bond DPG, Grasby SE. 2017 On the causes of mass extinctions. Palaeogeography, Palaeoclimatology, Palaeoecology 478, 3–29. (doi:10.1016/j.palaeo.2016.11.005)</t>
  </si>
  <si>
    <t>Bond &amp; Grasby 2017 calculate marine genus extinction rates of ~50 % for the "Early to Middle Cambrian" interval which includes the Botoman/Sinsk/AECE/ROECE events</t>
  </si>
  <si>
    <t>Bond &amp; Grasby 2017 calculate marine genus extinction rates of ~60 % for the Dresbachian interval</t>
  </si>
  <si>
    <t>Bar-On et al 2018 calculate ~84 % (473 Gt C) of the total 550 Gt C of present biosphere is from eukaryotes vs ~16 % (77 Gt C) from prokaryotes; this represents ~600 % increase in biomass</t>
  </si>
  <si>
    <t>Bar-On et al 2018</t>
  </si>
  <si>
    <t>Bar-On YM, Phillips R, Milo R. 2018 The biomass distribution on Earth. Proceedings of the National Academy of Sciences 115, 6506–6511. (doi:10.1073/pnas.1711842115)</t>
  </si>
  <si>
    <t xml:space="preserve">~370 kyr with main anoxic pulse ~100 kyr (Kabanov et al 2023) </t>
  </si>
  <si>
    <t>Cambrian Agronomic Revolution</t>
  </si>
  <si>
    <t>minimum duration of human impacts on decadal scale; minimum duration 70 years assuming a 1950s Anthropocene base; maximum duration up to 50 kyr human impact (e.g. Barnosky 2008); most impact likely in last 200 years</t>
  </si>
  <si>
    <t>Barnosky 2008</t>
  </si>
  <si>
    <t>Barnosky AD. 2008 Megafauna biomass tradeoff as a driver of Quaternary and future extinctions. Proceedings of the National Academy of Sciences 105, 11543–11548. (doi:10.1073/pnas.0801918105)</t>
  </si>
  <si>
    <t>megafauna</t>
  </si>
  <si>
    <t>largely following data in Barnosky 2008</t>
  </si>
  <si>
    <t>productivity</t>
  </si>
  <si>
    <t>Crockford PW, On YMB, Ward LM, Milo R, Halevy I. 2023 The geologic history of primary productivity. Current Biology 33, 4741-4750.e5. (doi:10.1016/j.cub.2023.09.040)</t>
  </si>
  <si>
    <t>Crockford et al 2023</t>
  </si>
  <si>
    <t>GOE maximum change comparing caluclations 2a to 3a</t>
  </si>
  <si>
    <t>GOE minimum change comparing calculations 2b to 3b</t>
  </si>
  <si>
    <t>time bin 7 includes the Cambrian Agronomic Revolution; time bin 6 recalculated to 0.09 as the geometric mean of time bins 5 and 7 due to order of magnitude error in Crockford spreadsheet</t>
  </si>
  <si>
    <t>time bin 8 includes the rise of globally significant land plants</t>
  </si>
  <si>
    <t>time bin 9 includes the angiosperm revolution</t>
  </si>
  <si>
    <t>change_type_definition</t>
  </si>
  <si>
    <t>change in species; typically richness</t>
  </si>
  <si>
    <t>change in genus; typically richness</t>
  </si>
  <si>
    <t>change in biomass; typically expressed as % pre-existing biomass</t>
  </si>
  <si>
    <t>change in NPP; typically expresses as % pre-existing NPP</t>
  </si>
  <si>
    <t>Bar-On et al 2018 calculate ~82 % (450 Gt C) of the total 550 Gt C of present biosphere is from plants and that this is ~half its pre-Holocene value; taking 900 Gt C as a pre-Holocene plant biomass value this represents ~900 % increase in biomass from a pre-plant world; most of the present-day terrestrial plant biomass comprises angiosperms but the early plant biosphere would have been gymnosperms</t>
  </si>
  <si>
    <t>Leclère D et al. 2020 Bending the curve of terrestrial biodiversity needs an integrated strategy. Nature 585, 551–556. (doi:10.1038/s41586-020-2705-y)</t>
  </si>
  <si>
    <t>Leclere et al 2020</t>
  </si>
  <si>
    <t>assume halting and reversing biosphere degredation by 2100 in an integrated action portfolio (IAP) scenario</t>
  </si>
  <si>
    <t>Rull V. 2022 Biodiversity crisis or sixth mass extinction? EMBO reports 23, e54193. (doi:10.15252/embr.202154193)</t>
  </si>
  <si>
    <t>Rull 2022</t>
  </si>
  <si>
    <t>3100 transient - business as usual</t>
  </si>
  <si>
    <t>business as usual: 2100</t>
  </si>
  <si>
    <t>business as usual: 3100</t>
  </si>
  <si>
    <t>Capel et al 2022</t>
  </si>
  <si>
    <t>Capel E, Cleal CJ, Xue J, Monnet C, Servais T, Cascales-Miñana B. 2022 The Silurian–Devonian terrestrial revolution: Diversity patterns and sampling bias of the vascular plant macrofossil record. Earth-Science Reviews 231, 104085. (doi:10.1016/j.earscirev.2022.104085)</t>
  </si>
  <si>
    <t>extrapolating 1.5-fold increase from generic to species diversity in the Late Devonian from North American plants using the global genus diversity value of Capel et al 2022</t>
  </si>
  <si>
    <t>~120 plant genera are known from the Late Devonian at the end of the initial radiation of land plants</t>
  </si>
  <si>
    <t>Strona G, Bradshaw CJA. 2022 Coextinctions dominate future vertebrate losses from climate and land use change. Science Advances 8, eabn4345. (doi:10.1126/sciadv.abn4345)</t>
  </si>
  <si>
    <t>Strona &amp; Bradshaw 2022</t>
  </si>
  <si>
    <t>SSP4-6.0 scenario</t>
  </si>
  <si>
    <t>SSP2-4.5 scenario</t>
  </si>
  <si>
    <t>SSP5-8.5 scenario</t>
  </si>
  <si>
    <t>age_estimate_ma</t>
  </si>
  <si>
    <t>Battison L, Brasier MD. 2012 Remarkably preserved prokaryote and eukaryote microfossils within 1Ga-old lake phosphates of the Torridon Group, NW Scotland. Precambrian Research 196–197, 204–217. (doi:10.1016/j.precamres.2011.12.012)</t>
  </si>
  <si>
    <t>Battison &amp; Brasier 2012</t>
  </si>
  <si>
    <t>Lenton et al 2016</t>
  </si>
  <si>
    <t>following the initial radiation only from COPSE simulations of an increase from near zero to 30 to 40 % of modern NPP</t>
  </si>
  <si>
    <t>percentage_change_rate_Myr</t>
  </si>
  <si>
    <t>Pliocene-Pleistocene transition</t>
  </si>
  <si>
    <t>PP</t>
  </si>
  <si>
    <t>Hatfield et al 2025</t>
  </si>
  <si>
    <t>Lenton TM, Dahl TW, Daines SJ, Mills BJW, Ozaki K, Saltzman MR, Porada P. 2016 Earliest land plants created modern levels of atmospheric oxygen. PNAS 113, 9704–9709. (doi:10.1073/pnas.1604787113)</t>
  </si>
  <si>
    <t>Hatfield JH et al. 2025 The Greatest Extinction Event in 66 Million Years? Contextualising Anthropogenic Extinctions. Global Change Biology 31, e70476. (doi:10.1111/gcb.70476)</t>
  </si>
  <si>
    <t>extinction rate minimum of marine animals following Bambach 2006 cited in Hatfield et al 2025 table 1</t>
  </si>
  <si>
    <t>extinction rate maximum of marine animals following Bambach 2006 cited in Hatfield et al 2025 table 1</t>
  </si>
  <si>
    <t>marine megafauna</t>
  </si>
  <si>
    <t>molluscs</t>
  </si>
  <si>
    <t>corals</t>
  </si>
  <si>
    <t>following van Woesik et al 2012 cited in Hatfield et al 2025 table 1</t>
  </si>
  <si>
    <t>following Pimiento et al 2017 cited in Hatfield et al 2025 table 1</t>
  </si>
  <si>
    <t>following Pimiento et al 2020 cited in Hatfield et al 2025 table 1</t>
  </si>
  <si>
    <t>main step-up in extinction rates between 3.6 to 2.9 Ma with a peak at ~2.6 Ma (Pimiento et al 2020)</t>
  </si>
  <si>
    <t>Pimiento et al 2020</t>
  </si>
  <si>
    <t>Pimiento et al 2017</t>
  </si>
  <si>
    <t>Pimiento C, Bacon CD, Silvestro D, Hendy A, Jaramillo C, Zizka A, Meyer X, Antonelli A. 2020 Selective extinction against redundant species buffers functional diversity. Proc Biol Sci 287, 20201162. (doi:10.1098/rspb.2020.1162)</t>
  </si>
  <si>
    <t>Pimiento C, Griffin JN, Clements CF, Silvestro D, Varela S, Uhen MD, Jaramillo C. 2017 The Pliocene marine megafauna extinction and its impact on functional diversity. Nat Ecol Evol 1, 1100–1106. (doi:10.1038/s41559-017-0223-6)</t>
  </si>
  <si>
    <t>Ceballos G, Ehrlich PR. 2023 Mutilation of the tree of life via mass extinction of animal genera. Proceedings of the National Academy of Sciences 120, e2306987120. (doi:10.1073/pnas.2306987120)</t>
  </si>
  <si>
    <t>Ceballos &amp; Ehrlich 2023</t>
  </si>
  <si>
    <t>tetrapods</t>
  </si>
  <si>
    <t>extinction rate from Ceballos &amp; Ehrlich 2023 calculated in Hatfield et al 2025 table 1</t>
  </si>
  <si>
    <t>following projections of vertebrate genera extinctions assuming the extinction of endangered monospecific genera (Ceballos &amp; Ehrlich 2023 table 3)</t>
  </si>
  <si>
    <t>Thomas 2015</t>
  </si>
  <si>
    <t>Thomas CD. 2015 Rapid acceleration of plant speciation during the Anthropocene. Trends in Ecology &amp; Evolution 30, 448–455. (doi:10.1016/j.tree.2015.05.009)</t>
  </si>
  <si>
    <t>assume halting and reversing biosphere degredation by 2100 in an integrated action portfolio (IAP) scenario (Leclere et al 2020) and supporting new symbioses at a rate of at least 10 speciation events per million species years (Thomas 2015)</t>
  </si>
  <si>
    <t>change_per_msy_mgy</t>
  </si>
  <si>
    <t>arithmetic mean</t>
  </si>
  <si>
    <t>median</t>
  </si>
  <si>
    <t>disruptor_type</t>
  </si>
  <si>
    <t>metric</t>
  </si>
  <si>
    <t>standard deviation</t>
  </si>
  <si>
    <t>2400 (perhaps earlier)</t>
  </si>
  <si>
    <t>Age (millions of years ago) [a]</t>
  </si>
  <si>
    <t>Background climate state [b]</t>
  </si>
  <si>
    <t>~120</t>
  </si>
  <si>
    <t>1.116 Myr (Gale et al 2020; Li et al 2024)</t>
  </si>
  <si>
    <t>began in the late Ediacaran ~545 Ma and persisted through Cambrian Series 2 (i.e. 545 to 506 Ma; e.g. Mangano et al 2024)</t>
  </si>
  <si>
    <t>~475 (initial colonisation in late Cambrian or Early Ordovician; Morris et al 2018; Donoghue et al 2021)</t>
  </si>
  <si>
    <t>began ~140 Ma and lasted into the early Cenozoic with a duration of ~50 to 100 Myr (Benton et al 2022)</t>
  </si>
  <si>
    <t>Sepkoski 1996</t>
  </si>
  <si>
    <t>Sepkoski JJ. 1996 Patterns of Phanerozoic Extinction: a Perspective from Global Data Bases. In Global Events and Event Stratigraphy in the Phanerozoic: Results of the International Interdisciplinary Cooperation in the IGCP-Project 216 “Global Biological Events in Earth History” (ed OH Walliser), pp. 35–51. Berlin, Heidelberg: Springer. (doi:10.1007/978-3-642-79634-0_4)</t>
  </si>
  <si>
    <t>I have not found a global marine species update on this; cited in Bond &amp; Grasby 2017 as well</t>
  </si>
  <si>
    <t>Brugger et al 2017</t>
  </si>
  <si>
    <t>Brugger J, Feulner G, Petri S. 2017 Baby, it’s cold outside: Climate model simulations of the effects of the asteroid impact at the end of the Cretaceous. Geophysical Research Letters 44, 419–427. (doi:10.1002/2016GL072241)</t>
  </si>
  <si>
    <t>following the baseline (BASE = SSP2) scenario of Leclere et al 2020 (see their fig. 1 and extended data table 1) for 2100 using their peak loss rate for 2010 to 2100; alternative would be to take their linear rate of change for 2010 to 2050 of -0.68 %/decade and apply it to the 90 year interval making a loss rate of 6.12 % over 90 years</t>
  </si>
  <si>
    <t>Robertson et al 2013</t>
  </si>
  <si>
    <t>Robertson DS, Lewis WM, Sheehan PM, Toon OB. 2013 K-Pg extinction patterns in marine and freshwater environments: The impact winter model. Journal of Geophysical Research: Biogeosciences 118, 1006–1014. (doi:10.1002/jgrg.20086)</t>
  </si>
  <si>
    <t>Lowery et al 2018</t>
  </si>
  <si>
    <t>Chiarenza et al 2020</t>
  </si>
  <si>
    <t>Morgan et al 2022</t>
  </si>
  <si>
    <t>Lowery CM et al. 2018 Rapid recovery of life at ground zero of the end-Cretaceous mass extinction. Nature 558, 288–291. (doi:10.1038/s41586-018-0163-6)</t>
  </si>
  <si>
    <t>Chiarenza AA, Farnsworth A, Mannion PD, Lunt DJ, Valdes PJ, Morgan JV, Allison PA. 2020 Asteroid impact, not volcanism, caused the end-Cretaceous dinosaur extinction. Proceedings of the National Academy of Sciences 117, 17084–17093. (doi:10.1073/pnas.2006087117)</t>
  </si>
  <si>
    <t>Morgan JV, Bralower TJ, Brugger J, Wünnemann K. 2022 The Chicxulub impact and its environmental consequences. Nat Rev Earth Environ 3, 338–354. (doi:10.1038/s43017-022-00283-y)</t>
  </si>
  <si>
    <t>minimum duration of seconds following the bolide impact; maximum duration of hundreds of kiloyears for mammal recovery or one to tens of kiloyears for fern recovery (Clyde et al 2016); rapid recovery at the impact site (Lowery et al 2018) suggests that the extinction mechanism operated on timescales less than ocean mixing time (~1 kyr) with an estimated duration of decades to centuries (Chiarenza et al 2020); estimated duration of extinction mechanism on timescale of decades (Robertson et al 2013; Brugger et al 2017; Chiarenza et al 2020; Morgan et al 2022); duration &lt;20 to 30 years following modelling work (Brugger et al 2017; Chiarenza et al 2020; Morgan et al 2022)</t>
  </si>
  <si>
    <t>carbon cycle destabilisation and marine extinction occurred over ~60 ± 48 kyr (Burgess et al 2014; Hua et al 2023) though it may have been as short as ~31 ± 31 kyr (Shen et al 2019); terrestrial extinction phase may have lasted as long as ~1 Myr (Hua et al 2023)</t>
  </si>
  <si>
    <t>Permo-Triassic mass extinction</t>
  </si>
  <si>
    <t>OAE2 (Cenomanian-Turonian)</t>
  </si>
  <si>
    <t>OAE1a (Aptian)</t>
  </si>
  <si>
    <t>Sheehan PM. 2001 The Late Ordovician Mass Extinction. Annual Review of Earth and Planetary Sciences 29, 331–364. (doi:10.1146/annurev.earth.29.1.331)</t>
  </si>
  <si>
    <t>Sheehan 2001</t>
  </si>
  <si>
    <t>Zhang Z et al. 2025 Tempo of the Late Ordovician mass extinction controlled by the rate of climate change. Science Advances 11, eadv6788. (doi:10.1126/sciadv.adv6788)</t>
  </si>
  <si>
    <t>Zhang et al 2025</t>
  </si>
  <si>
    <t>mass extinction interval likely &lt;1.4 Myr duration with two pulses of extinction on 10 to 100 kyr timescales (Harper 2024); pulses possibly 340 +460/-340 kyr and 60 +310/-60 kyr following radiometric dates (Zhang et al 2025); possible precursor extinction in the early Katian lasting ~1-2 Myr (Deng et al 2021)</t>
  </si>
  <si>
    <t>Deng et al 2021</t>
  </si>
  <si>
    <t>Deng Y et al. 2021 Timing and patterns of the Great Ordovician Biodiversification Event and Late Ordovician mass extinction: Perspectives from South China. Earth-Science Reviews 220, 103743. (doi:10.1016/j.earscirev.2021.103743)</t>
  </si>
  <si>
    <t>Pulsed event over ~1.4 Myr with two extinction pulses on 10 to 100 kyr timescales (Harper 2024); the major extinction pulses were probably ~340 +460/-340 kyr and ~60 +310/-60 kyr (Zhang et al 2025); there is a possible precursor extinction in the early Katian lasting ~1-2 Myr (Deng et al 2021)</t>
  </si>
  <si>
    <t>Great Oxygenation Event</t>
  </si>
  <si>
    <t>Barnosky A, Hadly E. 2026 The new Anthropocene biosphere. Philos Trans R Soc Lond B Biol Sci 381, 20240428. (doi:10.1098/rstb.2024.0428)</t>
  </si>
  <si>
    <t>Barnosky &amp; Hadly 2026</t>
  </si>
  <si>
    <t>assuming all 28 % of species at risk of extinction (IUCN) go extinct in the next 1000 years</t>
  </si>
  <si>
    <t>maximum</t>
  </si>
  <si>
    <t>minimum</t>
  </si>
  <si>
    <r>
      <t>Supplementary Data tables for "</t>
    </r>
    <r>
      <rPr>
        <b/>
        <i/>
        <sz val="11"/>
        <color theme="1"/>
        <rFont val="Calibri"/>
        <family val="2"/>
        <scheme val="minor"/>
      </rPr>
      <t>Is humanity a transient agent of biosphere net loss or a potential persistent driver of biosphere net gain?</t>
    </r>
    <r>
      <rPr>
        <b/>
        <sz val="11"/>
        <color theme="1"/>
        <rFont val="Calibri"/>
        <family val="2"/>
        <scheme val="minor"/>
      </rPr>
      <t>"</t>
    </r>
  </si>
  <si>
    <t>literature sources cited in the supplementary data tables</t>
  </si>
  <si>
    <t>table_s1_transient</t>
  </si>
  <si>
    <t>table_s2_persistent</t>
  </si>
  <si>
    <t>table_s3_durations</t>
  </si>
  <si>
    <t>table_s4_summaries</t>
  </si>
  <si>
    <t>table_s5_biosphere_changes</t>
  </si>
  <si>
    <t>detailed descriptions of transient disruptors in Earth history</t>
  </si>
  <si>
    <t>detailed descriptions of persistent disruptors in Earth history</t>
  </si>
  <si>
    <t>durations of disruptors (transient, persistent, human) used for calculations</t>
  </si>
  <si>
    <t>summary table of s3 durations for transient and persistent disruptors, values used in main text</t>
  </si>
  <si>
    <t>quantitative changes (positive or negative) of biodiversity metrics used for calculations</t>
  </si>
  <si>
    <t>a lower estimate of 10% species extinction by 3100</t>
  </si>
  <si>
    <t>a lower estimate of 5% genus extinction by 3100</t>
  </si>
  <si>
    <t>3100 persistent - sustainable stewardship</t>
  </si>
  <si>
    <t>2100 persistent - sustainable stewardship</t>
  </si>
  <si>
    <t>sustainable stewardship: 2100</t>
  </si>
  <si>
    <t>sustainable stewardship: 3100</t>
  </si>
  <si>
    <t>sustainable stewardship</t>
  </si>
  <si>
    <t>OAE-2 (Cenomanian-Turonian; Cretaceous)</t>
  </si>
  <si>
    <t>OAE-1a (Aptian; Cretaceous)</t>
  </si>
  <si>
    <t>Palaeocene-Eocene Thermal Maximum (Palaeogene)</t>
  </si>
  <si>
    <t>Eocene-Oligocene transition (Palaeogene) [c]</t>
  </si>
  <si>
    <t>Recent past (Quaternary)</t>
  </si>
  <si>
    <t>T-OAE (Toarcian; Jurassic)</t>
  </si>
  <si>
    <t>Upper and Lower Kellwasser events (Frasnian – Famennian; Late Devonian)</t>
  </si>
  <si>
    <t>Taghanic Event (Giventian; Middle Devonian)</t>
  </si>
  <si>
    <t>Lau Event (Ludfordian; Ludlow; Silurian)</t>
  </si>
  <si>
    <t>Mulde Event (Homerian; Wenlock; Silurian)</t>
  </si>
  <si>
    <t>Ireviken Event (Sheinwoodian; Wenlock; Silurian)</t>
  </si>
  <si>
    <t>Late Ordovician Extinction Event (Hirnantian; Late Ordovician)</t>
  </si>
  <si>
    <t xml:space="preserve">[a] For information on timescales and stratigraphical nomenclature used here see Gradstein et al. (2020). </t>
  </si>
  <si>
    <t xml:space="preserve">[b] Background climate state follows Judd et al. (2024) except for Cambrian events which are considered hothouse (early) and hothouse or warmhouse (late). </t>
  </si>
  <si>
    <t xml:space="preserve">[c] The EOT is included in Kiessling et al. (2025) with no warming, no deoxygenation, and no ocean acidification. The biotic event is assigned with “medium” confidence to a climate change cause, which was “likely cooling”. </t>
  </si>
  <si>
    <t>Uncertain; possibly ~1 Myr following Melchin et al 2020</t>
  </si>
  <si>
    <t>Uncertain; possibly ~1 Myr (following Melchin et al. 2020)</t>
  </si>
  <si>
    <t>Cooling (-1 to -5 °C; Hutchinson et al. 2021)</t>
  </si>
  <si>
    <t>1 to 20 % loss of species</t>
  </si>
  <si>
    <t xml:space="preserve">Variable (intense fires and month to decadal-scale cooling; Rae et al. 2021) </t>
  </si>
  <si>
    <t>Seconds to millennia for K-Pg boundary extinction; maximum impact duration &lt;20 to 30 years following modelling work (Brugger et al 2017; Chiarenza et al 2020; Morgan et al 2022), but note the wide temporal range of impact on the biosphere during this event</t>
  </si>
  <si>
    <t>~500 kyr (Gale et al. 2020, but estimates vary)</t>
  </si>
  <si>
    <t>LIP eruptions; possibly the Ontong Java Plateau LIP (Li et al 2024) but note potential age discrepancy; possibly also the emplacement of the Barents Sea Sill Complex (Jenkyns 2018; Gale et al. 2020)</t>
  </si>
  <si>
    <t>15 to 20 % loss of species</t>
  </si>
  <si>
    <t>Mass extinction: 80 % loss of species; significant decline in biomass</t>
  </si>
  <si>
    <t>Eruption of the Central Atlantic Magmatic Province (CAMP) LIP</t>
  </si>
  <si>
    <t>Permo-Triassic Mass Extinction</t>
  </si>
  <si>
    <t>Mass extinction; 90 to 95 % loss of species; significant decline in biomass</t>
  </si>
  <si>
    <t>25 to 47 % marine genus extinction, especially of reef ecosystems</t>
  </si>
  <si>
    <t>Emeishan Traps LIP; volcanic winter and photosynthesis shutdown plus heavy metal poisoning</t>
  </si>
  <si>
    <t>Capitanian biodiversity crisis (end-Guadalupian; Permian)</t>
  </si>
  <si>
    <t>Negative excursion</t>
  </si>
  <si>
    <t>Possible mass extinction; significant ecological crisis of uncertain magnitude; up to 39% genus-level extinction (McGhee et al 2013) and low levels of speciation</t>
  </si>
  <si>
    <t>Hangenberg Event (end-Famennian; Devonian)</t>
  </si>
  <si>
    <t>&lt;1 Myr; two phases with marine extinction followed by terrestrial extinction pulse (McGhee et al. 2013)</t>
  </si>
  <si>
    <t>Pripyat-Dnieper-Donets rift system volcanism or intense glaciation</t>
  </si>
  <si>
    <t>Kačák Event (Eifelian; Middle Devonian)</t>
  </si>
  <si>
    <t>Biotic episode (turnover or extinction)</t>
  </si>
  <si>
    <t>Mean global surface temperature change</t>
  </si>
  <si>
    <t>Ocean deoxygenation (hypoxic or anoxic conditions)</t>
  </si>
  <si>
    <t>Biotic episode/event</t>
  </si>
  <si>
    <t>Smithian-Spathian Boundary (Olenekian; Triassic) [d]</t>
  </si>
  <si>
    <t>Redlichiid-Olenellid trilobite Extinction Carbon isotope Excursion (ROECE; Cambrian Stage 4–Miaolingian boundary) [e]</t>
  </si>
  <si>
    <t>Sinsk Event / Archaeocyath Extinction Carbon isotope Excursion (AECE; Cambrian Stage 4) [e]</t>
  </si>
  <si>
    <t xml:space="preserve">[e] Two biotic events near the Cambrian Stage 4–Miaolingian boundary are identified here, both of which are linked to negative carbon isotope excursions and expanded marine anoxia. These events are not well understood, but they were critical in shaping the early evolution of animals and anoxia was likely a major driver of the extinctions (see for example Zhuravlev and Wood 1996, 2018). </t>
  </si>
  <si>
    <t xml:space="preserve">[d] It has not been possible to determine a biosphere impact for the Smithian-Spathian boundary episode, so it does not feature in the biosphere impact analyses. </t>
  </si>
  <si>
    <t xml:space="preserve">Table S1. Examples of transient disruptors in Earth's deep past is associated with substantial habitat loss caused, for example, by global changes in climate and low oxygen concentrations in the marine realm. Unless otherwise stated, data follow Bond and Grasby (2017), Foster et al. (2018), and Kiessling et al. (2025). </t>
  </si>
  <si>
    <t>Latest Hadean to early Archean</t>
  </si>
  <si>
    <t>Uncertain (but probably close to inception of life)</t>
  </si>
  <si>
    <t>Positive: for e.g., likely enabled transfer of key traits, for example RuBisCO genes essential for photosynthesis (see above)</t>
  </si>
  <si>
    <t>Duration (millions of years)</t>
  </si>
  <si>
    <t>10s to 100s (evolution of RuBisCo forms I to IV)</t>
  </si>
  <si>
    <t>200 to 300</t>
  </si>
  <si>
    <t>2300 to 1800 (2220 Ma following Mills et al 2022)</t>
  </si>
  <si>
    <t>Ediacaran</t>
  </si>
  <si>
    <t>545 (onset of bioturbation revolution between ~550 to 540 Ma and persisting through to Cambrian Epoch 2; Mángano et al. 2024)</t>
  </si>
  <si>
    <t>30 to 100 (main revolution began in the late Silurian ~430 Ma with an initial peak of genus and species diversity in the Early Devonian ~400 Ma and a largely established terrestrial plant biosphere by the Late Devonian ~360 Ma; Capel et al 2023)</t>
  </si>
  <si>
    <t>50 to 100</t>
  </si>
  <si>
    <t>Positive: more than 80% of standing biomass concentrated on land (most is in angiosperms). Improved photosynthetic efficiency of plants. Enhanced range of symbiotic relationships between plants, fungi, microbes and animals. Terrestrial environments become home to 85 to 95% of all macrospecies diversity</t>
  </si>
  <si>
    <t>Table S2. Examples of persistent disruptors in Earth's deep past is associated with substantial biosphere change, and humans both near-past to contemporary and possible future as persistent disruptors.</t>
  </si>
  <si>
    <t>Near-past and contemporary hyperconsuming humans [in advanced economies]: transient disruptors, or part of a longer persistent disruptor initially harming the incumbent biosphere</t>
  </si>
  <si>
    <t>Future humans as persistent disruptors following a sustainable stewardship pathway</t>
  </si>
  <si>
    <r>
      <t xml:space="preserve">Uncertain; &lt;2 Myr (within the </t>
    </r>
    <r>
      <rPr>
        <i/>
        <sz val="11"/>
        <color theme="1"/>
        <rFont val="Calibri"/>
        <family val="2"/>
        <scheme val="minor"/>
      </rPr>
      <t>Jinogondolella altudaensis</t>
    </r>
    <r>
      <rPr>
        <sz val="11"/>
        <color theme="1"/>
        <rFont val="Calibri"/>
        <family val="2"/>
        <scheme val="minor"/>
      </rPr>
      <t xml:space="preserve"> and </t>
    </r>
    <r>
      <rPr>
        <i/>
        <sz val="11"/>
        <color theme="1"/>
        <rFont val="Calibri"/>
        <family val="2"/>
        <scheme val="minor"/>
      </rPr>
      <t>J. prexuanhanensis</t>
    </r>
    <r>
      <rPr>
        <sz val="11"/>
        <color theme="1"/>
        <rFont val="Calibri"/>
        <family val="2"/>
        <scheme val="minor"/>
      </rPr>
      <t xml:space="preserve"> biozones; Bond et al. 2019)</t>
    </r>
  </si>
  <si>
    <r>
      <t xml:space="preserve">Negative: loss of functional and taxonomic diversity, loss of wild biomass                               Positive: for some commensal animals and plants highly lucrative, </t>
    </r>
    <r>
      <rPr>
        <i/>
        <sz val="11"/>
        <color theme="1"/>
        <rFont val="Calibri"/>
        <family val="2"/>
        <scheme val="minor"/>
      </rPr>
      <t>viz</t>
    </r>
    <r>
      <rPr>
        <sz val="11"/>
        <color theme="1"/>
        <rFont val="Calibri"/>
        <family val="2"/>
        <scheme val="minor"/>
      </rPr>
      <t xml:space="preserve"> concentration of 70% of bird biomass in chickens, and 98% of mammal biomass in humans and farmed animals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</si>
</sst>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9" x14ac:knownFonts="1">
    <font>
      <sz val="11"/>
      <color theme="1"/>
      <name val="Calibri"/>
      <family val="2"/>
      <scheme val="minor"/>
    </font>
    <font>
      <b/>
      <sz val="11"/>
      <color theme="1"/>
      <name val="Calibri"/>
      <family val="2"/>
      <scheme val="minor"/>
    </font>
    <font>
      <i/>
      <sz val="11"/>
      <name val="Calibri"/>
      <family val="2"/>
      <scheme val="minor"/>
    </font>
    <font>
      <sz val="8"/>
      <name val="Calibri"/>
      <family val="2"/>
      <scheme val="minor"/>
    </font>
    <font>
      <b/>
      <i/>
      <sz val="11"/>
      <color theme="1"/>
      <name val="Calibri"/>
      <family val="2"/>
      <scheme val="minor"/>
    </font>
    <font>
      <sz val="11"/>
      <color theme="1"/>
      <name val="Calibri"/>
      <family val="2"/>
      <scheme val="minor"/>
    </font>
    <font>
      <i/>
      <sz val="11"/>
      <color theme="1"/>
      <name val="Calibri"/>
      <family val="2"/>
      <scheme val="minor"/>
    </font>
    <font>
      <vertAlign val="superscript"/>
      <sz val="11"/>
      <color theme="1"/>
      <name val="Calibri"/>
      <family val="2"/>
      <scheme val="minor"/>
    </font>
    <font>
      <sz val="11"/>
      <name val="Calibri"/>
      <family val="2"/>
      <scheme val="minor"/>
    </font>
  </fonts>
  <fills count="3">
    <fill>
      <patternFill patternType="none"/>
    </fill>
    <fill>
      <patternFill patternType="gray125"/>
    </fill>
    <fill>
      <patternFill patternType="solid">
        <fgColor theme="0" tint="-4.9989318521683403E-2"/>
        <bgColor indexed="64"/>
      </patternFill>
    </fill>
  </fills>
  <borders count="3">
    <border>
      <left/>
      <right/>
      <top/>
      <bottom/>
      <diagonal/>
    </border>
    <border>
      <left/>
      <right/>
      <top style="thin">
        <color indexed="64"/>
      </top>
      <bottom style="thin">
        <color indexed="64"/>
      </bottom>
      <diagonal/>
    </border>
    <border>
      <left/>
      <right/>
      <top/>
      <bottom style="thin">
        <color indexed="64"/>
      </bottom>
      <diagonal/>
    </border>
  </borders>
  <cellStyleXfs count="1">
    <xf numFmtId="0" fontId="0" fillId="0" borderId="0"/>
  </cellStyleXfs>
  <cellXfs count="54">
    <xf numFmtId="0" fontId="0" fillId="0" borderId="0" xfId="0"/>
    <xf numFmtId="0" fontId="1" fillId="0" borderId="0" xfId="0" applyFont="1"/>
    <xf numFmtId="0" fontId="0" fillId="0" borderId="0" xfId="0" applyFont="1"/>
    <xf numFmtId="0" fontId="1" fillId="0" borderId="0" xfId="0" applyFont="1" applyAlignment="1"/>
    <xf numFmtId="0" fontId="0" fillId="0" borderId="0" xfId="0" applyFont="1" applyAlignment="1"/>
    <xf numFmtId="11" fontId="0" fillId="0" borderId="0" xfId="0" applyNumberFormat="1" applyFont="1" applyAlignment="1"/>
    <xf numFmtId="0" fontId="2" fillId="0" borderId="0" xfId="0" applyFont="1" applyFill="1" applyBorder="1" applyAlignment="1">
      <alignment vertical="center"/>
    </xf>
    <xf numFmtId="0" fontId="1" fillId="0" borderId="0" xfId="0" applyFont="1" applyFill="1" applyBorder="1" applyAlignment="1">
      <alignment horizontal="left" wrapText="1"/>
    </xf>
    <xf numFmtId="164" fontId="1" fillId="0" borderId="0" xfId="0" applyNumberFormat="1" applyFont="1" applyAlignment="1"/>
    <xf numFmtId="11" fontId="1" fillId="0" borderId="0" xfId="0" applyNumberFormat="1" applyFont="1" applyAlignment="1"/>
    <xf numFmtId="164" fontId="0" fillId="0" borderId="0" xfId="0" applyNumberFormat="1" applyFont="1" applyAlignment="1"/>
    <xf numFmtId="164" fontId="0" fillId="0" borderId="0" xfId="0" applyNumberFormat="1" applyFont="1"/>
    <xf numFmtId="0" fontId="0" fillId="0" borderId="0" xfId="0" applyFill="1" applyAlignment="1"/>
    <xf numFmtId="0" fontId="1" fillId="0" borderId="0" xfId="0" applyFont="1" applyFill="1" applyAlignment="1"/>
    <xf numFmtId="11" fontId="1" fillId="0" borderId="0" xfId="0" applyNumberFormat="1" applyFont="1" applyFill="1" applyAlignment="1"/>
    <xf numFmtId="2" fontId="1" fillId="0" borderId="0" xfId="0" applyNumberFormat="1" applyFont="1" applyFill="1" applyAlignment="1"/>
    <xf numFmtId="0" fontId="0" fillId="0" borderId="0" xfId="0" applyFont="1" applyFill="1" applyAlignment="1"/>
    <xf numFmtId="11" fontId="0" fillId="0" borderId="0" xfId="0" applyNumberFormat="1" applyFont="1" applyFill="1" applyAlignment="1"/>
    <xf numFmtId="2" fontId="0" fillId="0" borderId="0" xfId="0" applyNumberFormat="1" applyFill="1" applyAlignment="1"/>
    <xf numFmtId="3" fontId="0" fillId="0" borderId="0" xfId="0" applyNumberFormat="1" applyFill="1" applyAlignment="1"/>
    <xf numFmtId="2" fontId="0" fillId="0" borderId="0" xfId="0" applyNumberFormat="1" applyFont="1" applyFill="1" applyAlignment="1"/>
    <xf numFmtId="11" fontId="0" fillId="0" borderId="0" xfId="0" applyNumberFormat="1" applyFont="1"/>
    <xf numFmtId="0" fontId="0" fillId="0" borderId="0" xfId="0" applyFont="1" applyFill="1"/>
    <xf numFmtId="164" fontId="0" fillId="0" borderId="0" xfId="0" applyNumberFormat="1" applyFont="1" applyFill="1"/>
    <xf numFmtId="0" fontId="0" fillId="0" borderId="0" xfId="0" applyFont="1" applyFill="1" applyBorder="1"/>
    <xf numFmtId="0" fontId="0" fillId="0" borderId="0" xfId="0" applyFont="1" applyFill="1" applyBorder="1" applyAlignment="1">
      <alignment vertical="top" wrapText="1"/>
    </xf>
    <xf numFmtId="0" fontId="0" fillId="0" borderId="0" xfId="0" applyFont="1" applyFill="1" applyBorder="1" applyAlignment="1"/>
    <xf numFmtId="0" fontId="0" fillId="0" borderId="2" xfId="0" applyFont="1" applyFill="1" applyBorder="1" applyAlignment="1"/>
    <xf numFmtId="0" fontId="0" fillId="0" borderId="0" xfId="0" applyFont="1" applyFill="1" applyBorder="1" applyAlignment="1">
      <alignment vertical="center"/>
    </xf>
    <xf numFmtId="0" fontId="1" fillId="0" borderId="1" xfId="0" applyFont="1" applyFill="1" applyBorder="1" applyAlignment="1">
      <alignment horizontal="left" wrapText="1"/>
    </xf>
    <xf numFmtId="0" fontId="0" fillId="0" borderId="0" xfId="0" applyFont="1" applyFill="1" applyBorder="1" applyAlignment="1">
      <alignment horizontal="right" vertical="top" wrapText="1"/>
    </xf>
    <xf numFmtId="0" fontId="0" fillId="0" borderId="2" xfId="0" applyFont="1" applyFill="1" applyBorder="1" applyAlignment="1">
      <alignment vertical="top" wrapText="1"/>
    </xf>
    <xf numFmtId="0" fontId="0" fillId="0" borderId="2" xfId="0" applyFont="1" applyFill="1" applyBorder="1" applyAlignment="1">
      <alignment horizontal="right" vertical="top" wrapText="1"/>
    </xf>
    <xf numFmtId="0" fontId="7" fillId="0" borderId="0" xfId="0" applyFont="1" applyFill="1" applyBorder="1" applyAlignment="1">
      <alignment vertical="center"/>
    </xf>
    <xf numFmtId="0" fontId="0" fillId="0" borderId="2" xfId="0" applyFont="1" applyFill="1" applyBorder="1" applyAlignment="1">
      <alignment vertical="center"/>
    </xf>
    <xf numFmtId="0" fontId="0" fillId="0" borderId="0" xfId="0" applyFont="1" applyBorder="1"/>
    <xf numFmtId="0" fontId="0" fillId="0" borderId="0" xfId="0" applyFont="1" applyBorder="1" applyAlignment="1">
      <alignment horizontal="left" vertical="top" wrapText="1"/>
    </xf>
    <xf numFmtId="0" fontId="0" fillId="0" borderId="0" xfId="0" applyFont="1" applyBorder="1" applyAlignment="1">
      <alignment horizontal="center" vertical="top" wrapText="1"/>
    </xf>
    <xf numFmtId="0" fontId="0" fillId="0" borderId="0" xfId="0" applyFont="1" applyBorder="1" applyAlignment="1">
      <alignment vertical="top" wrapText="1"/>
    </xf>
    <xf numFmtId="0" fontId="0" fillId="0" borderId="0" xfId="0" applyFont="1" applyBorder="1" applyAlignment="1">
      <alignment horizontal="center" vertical="top"/>
    </xf>
    <xf numFmtId="0" fontId="8" fillId="0" borderId="0" xfId="0" applyFont="1" applyBorder="1" applyAlignment="1">
      <alignment vertical="top" wrapText="1"/>
    </xf>
    <xf numFmtId="0" fontId="8" fillId="0" borderId="0" xfId="0" applyFont="1" applyBorder="1" applyAlignment="1">
      <alignment horizontal="center" vertical="top" wrapText="1"/>
    </xf>
    <xf numFmtId="0" fontId="8" fillId="0" borderId="0" xfId="0" applyFont="1" applyBorder="1" applyAlignment="1">
      <alignment horizontal="center" vertical="top"/>
    </xf>
    <xf numFmtId="0" fontId="0" fillId="2" borderId="0" xfId="0" applyFont="1" applyFill="1" applyBorder="1" applyAlignment="1">
      <alignment vertical="top" wrapText="1"/>
    </xf>
    <xf numFmtId="0" fontId="0" fillId="2" borderId="0" xfId="0" applyFont="1" applyFill="1" applyBorder="1" applyAlignment="1">
      <alignment horizontal="center" vertical="top"/>
    </xf>
    <xf numFmtId="0" fontId="0" fillId="2" borderId="0" xfId="0" applyFont="1" applyFill="1" applyBorder="1" applyAlignment="1">
      <alignment horizontal="center" vertical="top" wrapText="1"/>
    </xf>
    <xf numFmtId="0" fontId="0" fillId="2" borderId="0" xfId="0" applyFont="1" applyFill="1" applyBorder="1" applyAlignment="1">
      <alignment horizontal="left" vertical="top" wrapText="1"/>
    </xf>
    <xf numFmtId="0" fontId="1" fillId="0" borderId="1" xfId="0" applyFont="1" applyBorder="1" applyAlignment="1">
      <alignment horizontal="center" vertical="center" wrapText="1"/>
    </xf>
    <xf numFmtId="0" fontId="0" fillId="0" borderId="2" xfId="0" applyFont="1" applyBorder="1" applyAlignment="1">
      <alignment horizontal="left" vertical="top" wrapText="1"/>
    </xf>
    <xf numFmtId="0" fontId="0" fillId="0" borderId="2" xfId="0" applyFont="1" applyBorder="1" applyAlignment="1">
      <alignment horizontal="center" vertical="top" wrapText="1"/>
    </xf>
    <xf numFmtId="0" fontId="0" fillId="0" borderId="2" xfId="0" applyFont="1" applyBorder="1" applyAlignment="1"/>
    <xf numFmtId="1" fontId="0" fillId="0" borderId="2" xfId="0" applyNumberFormat="1" applyFont="1" applyBorder="1"/>
    <xf numFmtId="0" fontId="1" fillId="0" borderId="1" xfId="0" applyFont="1" applyBorder="1"/>
    <xf numFmtId="11" fontId="1" fillId="0" borderId="1" xfId="0" applyNumberFormat="1" applyFont="1" applyBorder="1" applyAlignment="1"/>
  </cellXfs>
  <cellStyles count="1">
    <cellStyle name="Normal" xfId="0" builtinId="0"/>
  </cellStyles>
  <dxfs count="13">
    <dxf>
      <fill>
        <patternFill>
          <bgColor theme="7"/>
        </patternFill>
      </fill>
    </dxf>
    <dxf>
      <fill>
        <patternFill>
          <bgColor theme="5" tint="0.39994506668294322"/>
        </patternFill>
      </fill>
    </dxf>
    <dxf>
      <fill>
        <patternFill>
          <bgColor theme="7"/>
        </patternFill>
      </fill>
    </dxf>
    <dxf>
      <fill>
        <patternFill>
          <bgColor theme="5" tint="0.39994506668294322"/>
        </patternFill>
      </fill>
    </dxf>
    <dxf>
      <fill>
        <patternFill>
          <bgColor theme="7"/>
        </patternFill>
      </fill>
    </dxf>
    <dxf>
      <fill>
        <patternFill>
          <bgColor theme="5" tint="0.39994506668294322"/>
        </patternFill>
      </fill>
    </dxf>
    <dxf>
      <fill>
        <patternFill>
          <bgColor theme="7"/>
        </patternFill>
      </fill>
    </dxf>
    <dxf>
      <fill>
        <patternFill>
          <bgColor theme="5" tint="0.39994506668294322"/>
        </patternFill>
      </fill>
    </dxf>
    <dxf>
      <fill>
        <patternFill>
          <bgColor theme="7"/>
        </patternFill>
      </fill>
    </dxf>
    <dxf>
      <fill>
        <patternFill>
          <bgColor theme="5" tint="0.39994506668294322"/>
        </patternFill>
      </fill>
    </dxf>
    <dxf>
      <fill>
        <patternFill>
          <bgColor theme="7"/>
        </patternFill>
      </fill>
    </dxf>
    <dxf>
      <fill>
        <patternFill>
          <bgColor theme="5" tint="0.39994506668294322"/>
        </patternFill>
      </fill>
    </dxf>
    <dxf>
      <fill>
        <patternFill>
          <bgColor rgb="FF00B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0601E-B347-446D-A712-70936A067664}">
  <dimension ref="A1:B16"/>
  <sheetViews>
    <sheetView tabSelected="1" workbookViewId="0">
      <selection activeCell="B10" sqref="B10"/>
    </sheetView>
  </sheetViews>
  <sheetFormatPr defaultRowHeight="14.5" x14ac:dyDescent="0.35"/>
  <cols>
    <col min="1" max="1" width="31" customWidth="1"/>
  </cols>
  <sheetData>
    <row r="1" spans="1:2" x14ac:dyDescent="0.35">
      <c r="A1" s="1" t="s">
        <v>553</v>
      </c>
    </row>
    <row r="3" spans="1:2" x14ac:dyDescent="0.35">
      <c r="A3" s="1" t="s">
        <v>0</v>
      </c>
    </row>
    <row r="4" spans="1:2" x14ac:dyDescent="0.35">
      <c r="A4" s="2" t="s">
        <v>1</v>
      </c>
      <c r="B4" t="s">
        <v>554</v>
      </c>
    </row>
    <row r="5" spans="1:2" x14ac:dyDescent="0.35">
      <c r="A5" s="2" t="s">
        <v>555</v>
      </c>
      <c r="B5" t="s">
        <v>560</v>
      </c>
    </row>
    <row r="6" spans="1:2" x14ac:dyDescent="0.35">
      <c r="A6" s="2" t="s">
        <v>556</v>
      </c>
      <c r="B6" t="s">
        <v>561</v>
      </c>
    </row>
    <row r="7" spans="1:2" x14ac:dyDescent="0.35">
      <c r="A7" s="2" t="s">
        <v>557</v>
      </c>
      <c r="B7" t="s">
        <v>562</v>
      </c>
    </row>
    <row r="8" spans="1:2" x14ac:dyDescent="0.35">
      <c r="A8" s="2" t="s">
        <v>558</v>
      </c>
      <c r="B8" t="s">
        <v>563</v>
      </c>
    </row>
    <row r="9" spans="1:2" x14ac:dyDescent="0.35">
      <c r="A9" s="2" t="s">
        <v>559</v>
      </c>
      <c r="B9" t="s">
        <v>564</v>
      </c>
    </row>
    <row r="16" spans="1:2" x14ac:dyDescent="0.35">
      <c r="A16" s="1"/>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23E71A-C3BA-4E9A-8679-88DDD26ECF27}">
  <dimension ref="A1:C91"/>
  <sheetViews>
    <sheetView workbookViewId="0">
      <pane ySplit="1" topLeftCell="A2" activePane="bottomLeft" state="frozen"/>
      <selection pane="bottomLeft" activeCell="B2" sqref="B2"/>
    </sheetView>
  </sheetViews>
  <sheetFormatPr defaultRowHeight="14.5" x14ac:dyDescent="0.35"/>
  <cols>
    <col min="1" max="1" width="4.90625" bestFit="1" customWidth="1"/>
    <col min="2" max="2" width="33.90625" bestFit="1" customWidth="1"/>
    <col min="3" max="3" width="16.54296875" customWidth="1"/>
  </cols>
  <sheetData>
    <row r="1" spans="1:3" s="1" customFormat="1" x14ac:dyDescent="0.35">
      <c r="A1" s="1" t="s">
        <v>2</v>
      </c>
      <c r="B1" s="1" t="s">
        <v>3</v>
      </c>
      <c r="C1" s="1" t="s">
        <v>4</v>
      </c>
    </row>
    <row r="2" spans="1:3" x14ac:dyDescent="0.35">
      <c r="A2">
        <v>1</v>
      </c>
      <c r="B2" t="s">
        <v>315</v>
      </c>
      <c r="C2" t="s">
        <v>316</v>
      </c>
    </row>
    <row r="3" spans="1:3" x14ac:dyDescent="0.35">
      <c r="A3">
        <v>2</v>
      </c>
      <c r="B3" t="s">
        <v>5</v>
      </c>
      <c r="C3" t="s">
        <v>6</v>
      </c>
    </row>
    <row r="4" spans="1:3" x14ac:dyDescent="0.35">
      <c r="A4">
        <v>3</v>
      </c>
      <c r="B4" t="s">
        <v>10</v>
      </c>
      <c r="C4" t="s">
        <v>9</v>
      </c>
    </row>
    <row r="5" spans="1:3" x14ac:dyDescent="0.35">
      <c r="A5">
        <v>4</v>
      </c>
      <c r="B5" t="s">
        <v>12</v>
      </c>
      <c r="C5" t="s">
        <v>11</v>
      </c>
    </row>
    <row r="6" spans="1:3" x14ac:dyDescent="0.35">
      <c r="A6">
        <v>5</v>
      </c>
      <c r="B6" t="s">
        <v>16</v>
      </c>
      <c r="C6" t="s">
        <v>15</v>
      </c>
    </row>
    <row r="7" spans="1:3" x14ac:dyDescent="0.35">
      <c r="A7">
        <v>6</v>
      </c>
      <c r="B7" t="s">
        <v>14</v>
      </c>
      <c r="C7" t="s">
        <v>13</v>
      </c>
    </row>
    <row r="8" spans="1:3" x14ac:dyDescent="0.35">
      <c r="A8">
        <v>7</v>
      </c>
      <c r="B8" t="s">
        <v>17</v>
      </c>
      <c r="C8" t="s">
        <v>18</v>
      </c>
    </row>
    <row r="9" spans="1:3" x14ac:dyDescent="0.35">
      <c r="A9">
        <v>8</v>
      </c>
      <c r="B9" t="s">
        <v>20</v>
      </c>
      <c r="C9" t="s">
        <v>19</v>
      </c>
    </row>
    <row r="10" spans="1:3" x14ac:dyDescent="0.35">
      <c r="A10">
        <v>9</v>
      </c>
      <c r="B10" t="s">
        <v>21</v>
      </c>
      <c r="C10" t="s">
        <v>22</v>
      </c>
    </row>
    <row r="11" spans="1:3" x14ac:dyDescent="0.35">
      <c r="A11">
        <v>10</v>
      </c>
      <c r="B11" t="s">
        <v>23</v>
      </c>
      <c r="C11" t="s">
        <v>24</v>
      </c>
    </row>
    <row r="12" spans="1:3" x14ac:dyDescent="0.35">
      <c r="A12">
        <v>11</v>
      </c>
      <c r="B12" t="s">
        <v>25</v>
      </c>
      <c r="C12" t="s">
        <v>26</v>
      </c>
    </row>
    <row r="13" spans="1:3" x14ac:dyDescent="0.35">
      <c r="A13">
        <v>12</v>
      </c>
      <c r="B13" t="s">
        <v>28</v>
      </c>
      <c r="C13" t="s">
        <v>27</v>
      </c>
    </row>
    <row r="14" spans="1:3" x14ac:dyDescent="0.35">
      <c r="A14">
        <v>13</v>
      </c>
      <c r="B14" t="s">
        <v>30</v>
      </c>
      <c r="C14" t="s">
        <v>29</v>
      </c>
    </row>
    <row r="15" spans="1:3" x14ac:dyDescent="0.35">
      <c r="A15">
        <v>14</v>
      </c>
      <c r="B15" t="s">
        <v>32</v>
      </c>
      <c r="C15" t="s">
        <v>31</v>
      </c>
    </row>
    <row r="16" spans="1:3" x14ac:dyDescent="0.35">
      <c r="A16">
        <v>15</v>
      </c>
      <c r="B16" t="s">
        <v>34</v>
      </c>
      <c r="C16" t="s">
        <v>33</v>
      </c>
    </row>
    <row r="17" spans="1:3" x14ac:dyDescent="0.35">
      <c r="A17">
        <v>16</v>
      </c>
      <c r="B17" t="s">
        <v>36</v>
      </c>
      <c r="C17" t="s">
        <v>35</v>
      </c>
    </row>
    <row r="18" spans="1:3" x14ac:dyDescent="0.35">
      <c r="A18">
        <v>17</v>
      </c>
      <c r="B18" t="s">
        <v>37</v>
      </c>
      <c r="C18" t="s">
        <v>38</v>
      </c>
    </row>
    <row r="19" spans="1:3" x14ac:dyDescent="0.35">
      <c r="A19">
        <v>18</v>
      </c>
      <c r="B19" t="s">
        <v>40</v>
      </c>
      <c r="C19" t="s">
        <v>39</v>
      </c>
    </row>
    <row r="20" spans="1:3" x14ac:dyDescent="0.35">
      <c r="A20">
        <v>19</v>
      </c>
      <c r="B20" t="s">
        <v>46</v>
      </c>
      <c r="C20" t="s">
        <v>45</v>
      </c>
    </row>
    <row r="21" spans="1:3" x14ac:dyDescent="0.35">
      <c r="A21">
        <v>20</v>
      </c>
      <c r="B21" t="s">
        <v>48</v>
      </c>
      <c r="C21" t="s">
        <v>47</v>
      </c>
    </row>
    <row r="22" spans="1:3" x14ac:dyDescent="0.35">
      <c r="A22">
        <v>21</v>
      </c>
      <c r="B22" t="s">
        <v>62</v>
      </c>
      <c r="C22" t="s">
        <v>243</v>
      </c>
    </row>
    <row r="23" spans="1:3" x14ac:dyDescent="0.35">
      <c r="A23">
        <v>22</v>
      </c>
      <c r="B23" t="s">
        <v>216</v>
      </c>
      <c r="C23" t="s">
        <v>188</v>
      </c>
    </row>
    <row r="24" spans="1:3" x14ac:dyDescent="0.35">
      <c r="A24">
        <v>23</v>
      </c>
      <c r="B24" t="s">
        <v>209</v>
      </c>
    </row>
    <row r="25" spans="1:3" x14ac:dyDescent="0.35">
      <c r="A25">
        <v>24</v>
      </c>
      <c r="B25" t="s">
        <v>212</v>
      </c>
      <c r="C25" t="s">
        <v>211</v>
      </c>
    </row>
    <row r="26" spans="1:3" x14ac:dyDescent="0.35">
      <c r="A26">
        <v>25</v>
      </c>
      <c r="B26" t="s">
        <v>219</v>
      </c>
      <c r="C26" t="s">
        <v>218</v>
      </c>
    </row>
    <row r="27" spans="1:3" x14ac:dyDescent="0.35">
      <c r="A27">
        <v>26</v>
      </c>
      <c r="B27" t="s">
        <v>224</v>
      </c>
      <c r="C27" t="s">
        <v>223</v>
      </c>
    </row>
    <row r="28" spans="1:3" x14ac:dyDescent="0.35">
      <c r="A28">
        <v>27</v>
      </c>
      <c r="B28" t="s">
        <v>210</v>
      </c>
    </row>
    <row r="29" spans="1:3" x14ac:dyDescent="0.35">
      <c r="A29">
        <v>28</v>
      </c>
      <c r="B29" t="s">
        <v>241</v>
      </c>
      <c r="C29" t="s">
        <v>242</v>
      </c>
    </row>
    <row r="30" spans="1:3" x14ac:dyDescent="0.35">
      <c r="A30">
        <v>29</v>
      </c>
      <c r="B30" t="s">
        <v>245</v>
      </c>
      <c r="C30" t="s">
        <v>244</v>
      </c>
    </row>
    <row r="31" spans="1:3" x14ac:dyDescent="0.35">
      <c r="A31">
        <v>30</v>
      </c>
      <c r="B31" t="s">
        <v>247</v>
      </c>
      <c r="C31" t="s">
        <v>246</v>
      </c>
    </row>
    <row r="32" spans="1:3" x14ac:dyDescent="0.35">
      <c r="A32">
        <v>31</v>
      </c>
      <c r="B32" t="s">
        <v>249</v>
      </c>
      <c r="C32" t="s">
        <v>250</v>
      </c>
    </row>
    <row r="33" spans="1:3" x14ac:dyDescent="0.35">
      <c r="A33">
        <v>32</v>
      </c>
      <c r="B33" t="s">
        <v>253</v>
      </c>
      <c r="C33" t="s">
        <v>252</v>
      </c>
    </row>
    <row r="34" spans="1:3" x14ac:dyDescent="0.35">
      <c r="A34">
        <v>33</v>
      </c>
      <c r="B34" t="s">
        <v>254</v>
      </c>
      <c r="C34" t="s">
        <v>255</v>
      </c>
    </row>
    <row r="35" spans="1:3" x14ac:dyDescent="0.35">
      <c r="A35">
        <v>34</v>
      </c>
      <c r="B35" t="s">
        <v>258</v>
      </c>
      <c r="C35" t="s">
        <v>257</v>
      </c>
    </row>
    <row r="36" spans="1:3" x14ac:dyDescent="0.35">
      <c r="A36">
        <v>35</v>
      </c>
      <c r="B36" t="s">
        <v>261</v>
      </c>
      <c r="C36" t="s">
        <v>260</v>
      </c>
    </row>
    <row r="37" spans="1:3" x14ac:dyDescent="0.35">
      <c r="A37">
        <v>36</v>
      </c>
      <c r="B37" t="s">
        <v>263</v>
      </c>
      <c r="C37" t="s">
        <v>262</v>
      </c>
    </row>
    <row r="38" spans="1:3" x14ac:dyDescent="0.35">
      <c r="A38">
        <v>37</v>
      </c>
      <c r="B38" t="s">
        <v>265</v>
      </c>
      <c r="C38" t="s">
        <v>266</v>
      </c>
    </row>
    <row r="39" spans="1:3" x14ac:dyDescent="0.35">
      <c r="A39">
        <v>38</v>
      </c>
      <c r="B39" t="s">
        <v>270</v>
      </c>
      <c r="C39" t="s">
        <v>269</v>
      </c>
    </row>
    <row r="40" spans="1:3" x14ac:dyDescent="0.35">
      <c r="A40">
        <v>39</v>
      </c>
      <c r="B40" t="s">
        <v>273</v>
      </c>
      <c r="C40" t="s">
        <v>272</v>
      </c>
    </row>
    <row r="41" spans="1:3" x14ac:dyDescent="0.35">
      <c r="A41">
        <v>40</v>
      </c>
      <c r="B41" t="s">
        <v>274</v>
      </c>
      <c r="C41" t="s">
        <v>275</v>
      </c>
    </row>
    <row r="42" spans="1:3" x14ac:dyDescent="0.35">
      <c r="A42">
        <v>41</v>
      </c>
      <c r="B42" t="s">
        <v>278</v>
      </c>
      <c r="C42" t="s">
        <v>277</v>
      </c>
    </row>
    <row r="43" spans="1:3" x14ac:dyDescent="0.35">
      <c r="A43">
        <v>42</v>
      </c>
      <c r="B43" t="s">
        <v>280</v>
      </c>
      <c r="C43" t="s">
        <v>279</v>
      </c>
    </row>
    <row r="44" spans="1:3" x14ac:dyDescent="0.35">
      <c r="A44">
        <v>43</v>
      </c>
      <c r="B44" t="s">
        <v>282</v>
      </c>
      <c r="C44" t="s">
        <v>283</v>
      </c>
    </row>
    <row r="45" spans="1:3" x14ac:dyDescent="0.35">
      <c r="A45">
        <v>44</v>
      </c>
      <c r="B45" t="s">
        <v>284</v>
      </c>
      <c r="C45" t="s">
        <v>285</v>
      </c>
    </row>
    <row r="46" spans="1:3" x14ac:dyDescent="0.35">
      <c r="A46">
        <v>45</v>
      </c>
      <c r="B46" t="s">
        <v>286</v>
      </c>
      <c r="C46" t="s">
        <v>287</v>
      </c>
    </row>
    <row r="47" spans="1:3" x14ac:dyDescent="0.35">
      <c r="A47">
        <v>46</v>
      </c>
      <c r="B47" t="s">
        <v>289</v>
      </c>
      <c r="C47" t="s">
        <v>288</v>
      </c>
    </row>
    <row r="48" spans="1:3" x14ac:dyDescent="0.35">
      <c r="A48">
        <v>47</v>
      </c>
      <c r="B48" t="s">
        <v>292</v>
      </c>
      <c r="C48" t="s">
        <v>291</v>
      </c>
    </row>
    <row r="49" spans="1:3" x14ac:dyDescent="0.35">
      <c r="A49">
        <v>48</v>
      </c>
      <c r="B49" t="s">
        <v>293</v>
      </c>
      <c r="C49" t="s">
        <v>294</v>
      </c>
    </row>
    <row r="50" spans="1:3" x14ac:dyDescent="0.35">
      <c r="A50">
        <v>49</v>
      </c>
      <c r="B50" t="s">
        <v>296</v>
      </c>
      <c r="C50" t="s">
        <v>295</v>
      </c>
    </row>
    <row r="51" spans="1:3" x14ac:dyDescent="0.35">
      <c r="A51">
        <v>50</v>
      </c>
      <c r="B51" t="s">
        <v>300</v>
      </c>
      <c r="C51" t="s">
        <v>301</v>
      </c>
    </row>
    <row r="52" spans="1:3" x14ac:dyDescent="0.35">
      <c r="A52">
        <v>51</v>
      </c>
      <c r="B52" t="s">
        <v>302</v>
      </c>
      <c r="C52" t="s">
        <v>303</v>
      </c>
    </row>
    <row r="53" spans="1:3" x14ac:dyDescent="0.35">
      <c r="A53">
        <v>52</v>
      </c>
      <c r="B53" t="s">
        <v>313</v>
      </c>
      <c r="C53" t="s">
        <v>312</v>
      </c>
    </row>
    <row r="54" spans="1:3" x14ac:dyDescent="0.35">
      <c r="A54">
        <v>53</v>
      </c>
      <c r="B54" t="s">
        <v>320</v>
      </c>
      <c r="C54" t="s">
        <v>321</v>
      </c>
    </row>
    <row r="55" spans="1:3" x14ac:dyDescent="0.35">
      <c r="A55">
        <v>54</v>
      </c>
      <c r="B55" t="s">
        <v>322</v>
      </c>
      <c r="C55" t="s">
        <v>323</v>
      </c>
    </row>
    <row r="56" spans="1:3" x14ac:dyDescent="0.35">
      <c r="A56">
        <v>55</v>
      </c>
      <c r="B56" t="s">
        <v>326</v>
      </c>
      <c r="C56" t="s">
        <v>325</v>
      </c>
    </row>
    <row r="57" spans="1:3" x14ac:dyDescent="0.35">
      <c r="A57">
        <v>56</v>
      </c>
      <c r="B57" t="s">
        <v>328</v>
      </c>
      <c r="C57" t="s">
        <v>329</v>
      </c>
    </row>
    <row r="58" spans="1:3" x14ac:dyDescent="0.35">
      <c r="A58">
        <v>57</v>
      </c>
      <c r="B58" t="s">
        <v>335</v>
      </c>
      <c r="C58" t="s">
        <v>336</v>
      </c>
    </row>
    <row r="59" spans="1:3" x14ac:dyDescent="0.35">
      <c r="A59">
        <v>58</v>
      </c>
      <c r="B59" t="s">
        <v>337</v>
      </c>
      <c r="C59" t="s">
        <v>338</v>
      </c>
    </row>
    <row r="60" spans="1:3" x14ac:dyDescent="0.35">
      <c r="A60">
        <v>59</v>
      </c>
      <c r="B60" t="s">
        <v>340</v>
      </c>
      <c r="C60" t="s">
        <v>341</v>
      </c>
    </row>
    <row r="61" spans="1:3" x14ac:dyDescent="0.35">
      <c r="A61">
        <v>60</v>
      </c>
      <c r="B61" t="s">
        <v>343</v>
      </c>
      <c r="C61" t="s">
        <v>342</v>
      </c>
    </row>
    <row r="62" spans="1:3" x14ac:dyDescent="0.35">
      <c r="A62">
        <v>61</v>
      </c>
      <c r="B62" t="s">
        <v>404</v>
      </c>
      <c r="C62" t="s">
        <v>403</v>
      </c>
    </row>
    <row r="63" spans="1:3" x14ac:dyDescent="0.35">
      <c r="A63">
        <v>62</v>
      </c>
      <c r="B63" t="s">
        <v>400</v>
      </c>
      <c r="C63" t="s">
        <v>401</v>
      </c>
    </row>
    <row r="64" spans="1:3" x14ac:dyDescent="0.35">
      <c r="A64">
        <v>63</v>
      </c>
      <c r="B64" t="s">
        <v>415</v>
      </c>
      <c r="C64" t="s">
        <v>416</v>
      </c>
    </row>
    <row r="65" spans="1:3" x14ac:dyDescent="0.35">
      <c r="A65">
        <v>64</v>
      </c>
      <c r="B65" t="s">
        <v>421</v>
      </c>
      <c r="C65" t="s">
        <v>422</v>
      </c>
    </row>
    <row r="66" spans="1:3" x14ac:dyDescent="0.35">
      <c r="A66">
        <v>65</v>
      </c>
      <c r="B66" t="s">
        <v>423</v>
      </c>
      <c r="C66" t="s">
        <v>424</v>
      </c>
    </row>
    <row r="67" spans="1:3" x14ac:dyDescent="0.35">
      <c r="A67">
        <v>66</v>
      </c>
      <c r="B67" t="s">
        <v>429</v>
      </c>
      <c r="C67" t="s">
        <v>430</v>
      </c>
    </row>
    <row r="68" spans="1:3" x14ac:dyDescent="0.35">
      <c r="A68">
        <v>67</v>
      </c>
      <c r="B68" t="s">
        <v>434</v>
      </c>
      <c r="C68" t="s">
        <v>435</v>
      </c>
    </row>
    <row r="69" spans="1:3" x14ac:dyDescent="0.35">
      <c r="A69">
        <v>68</v>
      </c>
      <c r="B69" t="s">
        <v>439</v>
      </c>
      <c r="C69" t="s">
        <v>440</v>
      </c>
    </row>
    <row r="70" spans="1:3" x14ac:dyDescent="0.35">
      <c r="A70">
        <v>69</v>
      </c>
      <c r="B70" t="s">
        <v>445</v>
      </c>
      <c r="C70" t="s">
        <v>444</v>
      </c>
    </row>
    <row r="71" spans="1:3" x14ac:dyDescent="0.35">
      <c r="A71">
        <v>70</v>
      </c>
      <c r="B71" t="s">
        <v>458</v>
      </c>
      <c r="C71" t="s">
        <v>457</v>
      </c>
    </row>
    <row r="72" spans="1:3" x14ac:dyDescent="0.35">
      <c r="A72">
        <v>71</v>
      </c>
      <c r="B72" t="s">
        <v>461</v>
      </c>
      <c r="C72" t="s">
        <v>460</v>
      </c>
    </row>
    <row r="73" spans="1:3" x14ac:dyDescent="0.35">
      <c r="A73">
        <v>72</v>
      </c>
      <c r="B73" t="s">
        <v>465</v>
      </c>
      <c r="C73" t="s">
        <v>466</v>
      </c>
    </row>
    <row r="74" spans="1:3" x14ac:dyDescent="0.35">
      <c r="A74">
        <v>73</v>
      </c>
      <c r="B74" t="s">
        <v>470</v>
      </c>
      <c r="C74" t="s">
        <v>469</v>
      </c>
    </row>
    <row r="75" spans="1:3" x14ac:dyDescent="0.35">
      <c r="A75">
        <v>74</v>
      </c>
      <c r="B75" t="s">
        <v>476</v>
      </c>
      <c r="C75" t="s">
        <v>475</v>
      </c>
    </row>
    <row r="76" spans="1:3" x14ac:dyDescent="0.35">
      <c r="A76">
        <v>75</v>
      </c>
      <c r="B76" t="s">
        <v>477</v>
      </c>
      <c r="C76" t="s">
        <v>483</v>
      </c>
    </row>
    <row r="77" spans="1:3" x14ac:dyDescent="0.35">
      <c r="A77">
        <v>76</v>
      </c>
      <c r="B77" t="s">
        <v>482</v>
      </c>
      <c r="C77" t="s">
        <v>484</v>
      </c>
    </row>
    <row r="78" spans="1:3" x14ac:dyDescent="0.35">
      <c r="A78">
        <v>77</v>
      </c>
      <c r="B78" t="s">
        <v>494</v>
      </c>
      <c r="C78" t="s">
        <v>496</v>
      </c>
    </row>
    <row r="79" spans="1:3" x14ac:dyDescent="0.35">
      <c r="A79">
        <v>78</v>
      </c>
      <c r="B79" t="s">
        <v>495</v>
      </c>
      <c r="C79" t="s">
        <v>497</v>
      </c>
    </row>
    <row r="80" spans="1:3" x14ac:dyDescent="0.35">
      <c r="A80">
        <v>79</v>
      </c>
      <c r="B80" t="s">
        <v>499</v>
      </c>
      <c r="C80" t="s">
        <v>498</v>
      </c>
    </row>
    <row r="81" spans="1:3" x14ac:dyDescent="0.35">
      <c r="A81">
        <v>80</v>
      </c>
      <c r="B81" t="s">
        <v>503</v>
      </c>
      <c r="C81" t="s">
        <v>504</v>
      </c>
    </row>
    <row r="82" spans="1:3" x14ac:dyDescent="0.35">
      <c r="A82">
        <v>81</v>
      </c>
      <c r="B82" t="s">
        <v>520</v>
      </c>
      <c r="C82" t="s">
        <v>521</v>
      </c>
    </row>
    <row r="83" spans="1:3" x14ac:dyDescent="0.35">
      <c r="A83">
        <v>82</v>
      </c>
      <c r="B83" t="s">
        <v>523</v>
      </c>
      <c r="C83" t="s">
        <v>524</v>
      </c>
    </row>
    <row r="84" spans="1:3" x14ac:dyDescent="0.35">
      <c r="A84">
        <v>83</v>
      </c>
      <c r="B84" t="s">
        <v>526</v>
      </c>
      <c r="C84" t="s">
        <v>527</v>
      </c>
    </row>
    <row r="85" spans="1:3" x14ac:dyDescent="0.35">
      <c r="A85">
        <v>84</v>
      </c>
      <c r="B85" t="s">
        <v>528</v>
      </c>
      <c r="C85" t="s">
        <v>531</v>
      </c>
    </row>
    <row r="86" spans="1:3" x14ac:dyDescent="0.35">
      <c r="A86">
        <v>85</v>
      </c>
      <c r="B86" t="s">
        <v>529</v>
      </c>
      <c r="C86" t="s">
        <v>532</v>
      </c>
    </row>
    <row r="87" spans="1:3" x14ac:dyDescent="0.35">
      <c r="A87">
        <v>86</v>
      </c>
      <c r="B87" t="s">
        <v>530</v>
      </c>
      <c r="C87" t="s">
        <v>533</v>
      </c>
    </row>
    <row r="88" spans="1:3" x14ac:dyDescent="0.35">
      <c r="A88">
        <v>87</v>
      </c>
      <c r="B88" t="s">
        <v>540</v>
      </c>
      <c r="C88" t="s">
        <v>539</v>
      </c>
    </row>
    <row r="89" spans="1:3" x14ac:dyDescent="0.35">
      <c r="A89">
        <v>88</v>
      </c>
      <c r="B89" t="s">
        <v>542</v>
      </c>
      <c r="C89" t="s">
        <v>541</v>
      </c>
    </row>
    <row r="90" spans="1:3" x14ac:dyDescent="0.35">
      <c r="A90">
        <v>89</v>
      </c>
      <c r="B90" t="s">
        <v>544</v>
      </c>
      <c r="C90" t="s">
        <v>545</v>
      </c>
    </row>
    <row r="91" spans="1:3" x14ac:dyDescent="0.35">
      <c r="A91">
        <v>90</v>
      </c>
      <c r="B91" t="s">
        <v>549</v>
      </c>
      <c r="C91" t="s">
        <v>548</v>
      </c>
    </row>
  </sheetData>
  <autoFilter ref="A1:C3" xr:uid="{7423E71A-C3BA-4E9A-8679-88DDD26ECF27}">
    <sortState xmlns:xlrd2="http://schemas.microsoft.com/office/spreadsheetml/2017/richdata2" ref="A2:C77">
      <sortCondition ref="A1:A3"/>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E02C9-8C6B-4F68-8EBA-87618D78843B}">
  <dimension ref="A1:J32"/>
  <sheetViews>
    <sheetView zoomScale="70" zoomScaleNormal="70" workbookViewId="0"/>
  </sheetViews>
  <sheetFormatPr defaultRowHeight="14.5" x14ac:dyDescent="0.35"/>
  <cols>
    <col min="1" max="1" width="35.7265625" style="24" customWidth="1"/>
    <col min="2" max="2" width="14.6328125" style="24" customWidth="1"/>
    <col min="3" max="3" width="37.90625" style="24" customWidth="1"/>
    <col min="4" max="4" width="23" style="24" customWidth="1"/>
    <col min="5" max="5" width="17.6328125" style="24" customWidth="1"/>
    <col min="6" max="6" width="21.54296875" style="24" customWidth="1"/>
    <col min="7" max="7" width="22.7265625" style="24" customWidth="1"/>
    <col min="8" max="8" width="23.453125" style="24" customWidth="1"/>
    <col min="9" max="9" width="41.1796875" style="24" customWidth="1"/>
    <col min="10" max="10" width="31.08984375" style="24" customWidth="1"/>
    <col min="11" max="16384" width="8.7265625" style="24"/>
  </cols>
  <sheetData>
    <row r="1" spans="1:10" s="24" customFormat="1" x14ac:dyDescent="0.35">
      <c r="A1" s="6" t="s">
        <v>618</v>
      </c>
    </row>
    <row r="2" spans="1:10" s="7" customFormat="1" ht="43.5" x14ac:dyDescent="0.35">
      <c r="A2" s="29" t="s">
        <v>609</v>
      </c>
      <c r="B2" s="29" t="s">
        <v>513</v>
      </c>
      <c r="C2" s="29" t="s">
        <v>63</v>
      </c>
      <c r="D2" s="29" t="s">
        <v>64</v>
      </c>
      <c r="E2" s="29" t="s">
        <v>514</v>
      </c>
      <c r="F2" s="29" t="s">
        <v>610</v>
      </c>
      <c r="G2" s="29" t="s">
        <v>611</v>
      </c>
      <c r="H2" s="29" t="s">
        <v>7</v>
      </c>
      <c r="I2" s="29" t="s">
        <v>65</v>
      </c>
      <c r="J2" s="29" t="s">
        <v>66</v>
      </c>
    </row>
    <row r="3" spans="1:10" s="25" customFormat="1" ht="43.5" x14ac:dyDescent="0.35">
      <c r="A3" s="25" t="s">
        <v>576</v>
      </c>
      <c r="B3" s="30">
        <v>0</v>
      </c>
      <c r="C3" s="25" t="s">
        <v>67</v>
      </c>
      <c r="D3" s="25" t="s">
        <v>68</v>
      </c>
      <c r="E3" s="25" t="s">
        <v>333</v>
      </c>
      <c r="F3" s="25" t="s">
        <v>70</v>
      </c>
      <c r="G3" s="25" t="s">
        <v>71</v>
      </c>
      <c r="H3" s="25" t="s">
        <v>71</v>
      </c>
      <c r="I3" s="25" t="s">
        <v>72</v>
      </c>
      <c r="J3" s="25" t="s">
        <v>73</v>
      </c>
    </row>
    <row r="4" spans="1:10" s="25" customFormat="1" ht="72.5" x14ac:dyDescent="0.35">
      <c r="A4" s="25" t="s">
        <v>575</v>
      </c>
      <c r="B4" s="30">
        <v>34</v>
      </c>
      <c r="C4" s="25" t="s">
        <v>74</v>
      </c>
      <c r="D4" s="25" t="s">
        <v>75</v>
      </c>
      <c r="E4" s="25" t="s">
        <v>76</v>
      </c>
      <c r="F4" s="25" t="s">
        <v>589</v>
      </c>
      <c r="G4" s="25" t="s">
        <v>78</v>
      </c>
      <c r="H4" s="25" t="s">
        <v>78</v>
      </c>
      <c r="I4" s="25" t="s">
        <v>79</v>
      </c>
      <c r="J4" s="25" t="s">
        <v>80</v>
      </c>
    </row>
    <row r="5" spans="1:10" s="25" customFormat="1" ht="29" x14ac:dyDescent="0.35">
      <c r="A5" s="25" t="s">
        <v>574</v>
      </c>
      <c r="B5" s="30">
        <v>56</v>
      </c>
      <c r="C5" s="25" t="s">
        <v>81</v>
      </c>
      <c r="D5" s="25" t="s">
        <v>82</v>
      </c>
      <c r="E5" s="25" t="s">
        <v>83</v>
      </c>
      <c r="F5" s="25" t="s">
        <v>84</v>
      </c>
      <c r="G5" s="25" t="s">
        <v>85</v>
      </c>
      <c r="H5" s="25" t="s">
        <v>71</v>
      </c>
      <c r="I5" s="25" t="s">
        <v>86</v>
      </c>
      <c r="J5" s="25" t="s">
        <v>590</v>
      </c>
    </row>
    <row r="6" spans="1:10" s="25" customFormat="1" ht="101.5" x14ac:dyDescent="0.35">
      <c r="A6" s="25" t="s">
        <v>41</v>
      </c>
      <c r="B6" s="30">
        <v>66</v>
      </c>
      <c r="C6" s="25" t="s">
        <v>592</v>
      </c>
      <c r="D6" s="25" t="s">
        <v>87</v>
      </c>
      <c r="E6" s="25" t="s">
        <v>88</v>
      </c>
      <c r="F6" s="25" t="s">
        <v>591</v>
      </c>
      <c r="G6" s="25" t="s">
        <v>89</v>
      </c>
      <c r="H6" s="25" t="s">
        <v>71</v>
      </c>
      <c r="I6" s="25" t="s">
        <v>90</v>
      </c>
      <c r="J6" s="25" t="s">
        <v>91</v>
      </c>
    </row>
    <row r="7" spans="1:10" s="25" customFormat="1" ht="43.5" x14ac:dyDescent="0.35">
      <c r="A7" s="25" t="s">
        <v>572</v>
      </c>
      <c r="B7" s="30">
        <v>94</v>
      </c>
      <c r="C7" s="25" t="s">
        <v>593</v>
      </c>
      <c r="D7" s="25" t="s">
        <v>92</v>
      </c>
      <c r="E7" s="25" t="s">
        <v>83</v>
      </c>
      <c r="F7" s="25" t="s">
        <v>70</v>
      </c>
      <c r="G7" s="25" t="s">
        <v>71</v>
      </c>
      <c r="H7" s="25" t="s">
        <v>71</v>
      </c>
      <c r="I7" s="25" t="s">
        <v>93</v>
      </c>
      <c r="J7" s="25" t="s">
        <v>94</v>
      </c>
    </row>
    <row r="8" spans="1:10" s="25" customFormat="1" ht="130.5" x14ac:dyDescent="0.35">
      <c r="A8" s="25" t="s">
        <v>573</v>
      </c>
      <c r="B8" s="30" t="s">
        <v>515</v>
      </c>
      <c r="C8" s="25" t="s">
        <v>516</v>
      </c>
      <c r="D8" s="25" t="s">
        <v>594</v>
      </c>
      <c r="E8" s="25" t="s">
        <v>83</v>
      </c>
      <c r="F8" s="25" t="s">
        <v>70</v>
      </c>
      <c r="G8" s="25" t="s">
        <v>71</v>
      </c>
      <c r="H8" s="25" t="s">
        <v>71</v>
      </c>
      <c r="I8" s="25" t="s">
        <v>95</v>
      </c>
      <c r="J8" s="25" t="s">
        <v>96</v>
      </c>
    </row>
    <row r="9" spans="1:10" s="25" customFormat="1" ht="58" x14ac:dyDescent="0.35">
      <c r="A9" s="25" t="s">
        <v>577</v>
      </c>
      <c r="B9" s="30" t="s">
        <v>98</v>
      </c>
      <c r="C9" s="25" t="s">
        <v>99</v>
      </c>
      <c r="D9" s="25" t="s">
        <v>100</v>
      </c>
      <c r="E9" s="25" t="s">
        <v>76</v>
      </c>
      <c r="F9" s="25" t="s">
        <v>70</v>
      </c>
      <c r="G9" s="25" t="s">
        <v>71</v>
      </c>
      <c r="H9" s="25" t="s">
        <v>71</v>
      </c>
      <c r="I9" s="25" t="s">
        <v>101</v>
      </c>
      <c r="J9" s="25" t="s">
        <v>595</v>
      </c>
    </row>
    <row r="10" spans="1:10" s="25" customFormat="1" ht="43.5" x14ac:dyDescent="0.35">
      <c r="A10" s="25" t="s">
        <v>102</v>
      </c>
      <c r="B10" s="30">
        <v>201</v>
      </c>
      <c r="C10" s="25" t="s">
        <v>259</v>
      </c>
      <c r="D10" s="25" t="s">
        <v>597</v>
      </c>
      <c r="E10" s="25" t="s">
        <v>103</v>
      </c>
      <c r="F10" s="25" t="s">
        <v>104</v>
      </c>
      <c r="G10" s="25" t="s">
        <v>71</v>
      </c>
      <c r="H10" s="25" t="s">
        <v>71</v>
      </c>
      <c r="I10" s="25" t="s">
        <v>105</v>
      </c>
      <c r="J10" s="25" t="s">
        <v>596</v>
      </c>
    </row>
    <row r="11" spans="1:10" s="25" customFormat="1" ht="58" x14ac:dyDescent="0.35">
      <c r="A11" s="25" t="s">
        <v>106</v>
      </c>
      <c r="B11" s="30" t="s">
        <v>107</v>
      </c>
      <c r="C11" s="25" t="s">
        <v>108</v>
      </c>
      <c r="D11" s="25" t="s">
        <v>109</v>
      </c>
      <c r="E11" s="25" t="s">
        <v>110</v>
      </c>
      <c r="F11" s="25" t="s">
        <v>111</v>
      </c>
      <c r="G11" s="25" t="s">
        <v>71</v>
      </c>
      <c r="H11" s="25" t="s">
        <v>112</v>
      </c>
      <c r="I11" s="25" t="s">
        <v>113</v>
      </c>
      <c r="J11" s="25" t="s">
        <v>114</v>
      </c>
    </row>
    <row r="12" spans="1:10" s="25" customFormat="1" ht="43.5" x14ac:dyDescent="0.35">
      <c r="A12" s="25" t="s">
        <v>613</v>
      </c>
      <c r="B12" s="30">
        <v>248</v>
      </c>
      <c r="C12" s="25" t="s">
        <v>116</v>
      </c>
      <c r="D12" s="25" t="s">
        <v>117</v>
      </c>
      <c r="E12" s="25" t="s">
        <v>76</v>
      </c>
      <c r="F12" s="25" t="s">
        <v>104</v>
      </c>
      <c r="G12" s="25" t="s">
        <v>71</v>
      </c>
      <c r="H12" s="25" t="s">
        <v>112</v>
      </c>
      <c r="I12" s="25" t="s">
        <v>118</v>
      </c>
      <c r="J12" s="25" t="s">
        <v>119</v>
      </c>
    </row>
    <row r="13" spans="1:10" s="25" customFormat="1" ht="43.5" x14ac:dyDescent="0.35">
      <c r="A13" s="25" t="s">
        <v>598</v>
      </c>
      <c r="B13" s="30">
        <v>252</v>
      </c>
      <c r="C13" s="25" t="s">
        <v>120</v>
      </c>
      <c r="D13" s="25" t="s">
        <v>121</v>
      </c>
      <c r="E13" s="25" t="s">
        <v>88</v>
      </c>
      <c r="F13" s="25" t="s">
        <v>122</v>
      </c>
      <c r="G13" s="25" t="s">
        <v>71</v>
      </c>
      <c r="H13" s="25" t="s">
        <v>123</v>
      </c>
      <c r="I13" s="25" t="s">
        <v>124</v>
      </c>
      <c r="J13" s="25" t="s">
        <v>599</v>
      </c>
    </row>
    <row r="14" spans="1:10" s="25" customFormat="1" ht="72.5" x14ac:dyDescent="0.35">
      <c r="A14" s="25" t="s">
        <v>602</v>
      </c>
      <c r="B14" s="30" t="s">
        <v>126</v>
      </c>
      <c r="C14" s="25" t="s">
        <v>634</v>
      </c>
      <c r="D14" s="25" t="s">
        <v>601</v>
      </c>
      <c r="E14" s="25" t="s">
        <v>103</v>
      </c>
      <c r="F14" s="25" t="s">
        <v>127</v>
      </c>
      <c r="G14" s="25" t="s">
        <v>128</v>
      </c>
      <c r="H14" s="25" t="s">
        <v>129</v>
      </c>
      <c r="I14" s="25" t="s">
        <v>130</v>
      </c>
      <c r="J14" s="25" t="s">
        <v>600</v>
      </c>
    </row>
    <row r="15" spans="1:10" s="25" customFormat="1" ht="145" x14ac:dyDescent="0.35">
      <c r="A15" s="25" t="s">
        <v>208</v>
      </c>
      <c r="B15" s="30">
        <v>325</v>
      </c>
      <c r="C15" s="25" t="s">
        <v>331</v>
      </c>
      <c r="D15" s="25" t="s">
        <v>332</v>
      </c>
      <c r="E15" s="25" t="s">
        <v>333</v>
      </c>
      <c r="F15" s="25" t="s">
        <v>206</v>
      </c>
      <c r="G15" s="25" t="s">
        <v>71</v>
      </c>
      <c r="H15" s="25" t="s">
        <v>112</v>
      </c>
      <c r="I15" s="25" t="s">
        <v>603</v>
      </c>
      <c r="J15" s="25" t="s">
        <v>604</v>
      </c>
    </row>
    <row r="16" spans="1:10" s="25" customFormat="1" ht="58" x14ac:dyDescent="0.35">
      <c r="A16" s="25" t="s">
        <v>605</v>
      </c>
      <c r="B16" s="30">
        <v>360</v>
      </c>
      <c r="C16" s="25" t="s">
        <v>606</v>
      </c>
      <c r="D16" s="25" t="s">
        <v>607</v>
      </c>
      <c r="E16" s="25" t="s">
        <v>132</v>
      </c>
      <c r="F16" s="25" t="s">
        <v>133</v>
      </c>
      <c r="G16" s="25" t="s">
        <v>71</v>
      </c>
      <c r="H16" s="25" t="s">
        <v>112</v>
      </c>
      <c r="I16" s="25" t="s">
        <v>134</v>
      </c>
      <c r="J16" s="25" t="s">
        <v>135</v>
      </c>
    </row>
    <row r="17" spans="1:10" s="25" customFormat="1" ht="58" x14ac:dyDescent="0.35">
      <c r="A17" s="25" t="s">
        <v>578</v>
      </c>
      <c r="B17" s="25">
        <v>371</v>
      </c>
      <c r="C17" s="25" t="s">
        <v>344</v>
      </c>
      <c r="D17" s="25" t="s">
        <v>180</v>
      </c>
      <c r="E17" s="25" t="s">
        <v>76</v>
      </c>
      <c r="F17" s="25" t="s">
        <v>136</v>
      </c>
      <c r="G17" s="25" t="s">
        <v>71</v>
      </c>
      <c r="H17" s="25" t="s">
        <v>112</v>
      </c>
      <c r="I17" s="25" t="s">
        <v>137</v>
      </c>
      <c r="J17" s="25" t="s">
        <v>138</v>
      </c>
    </row>
    <row r="18" spans="1:10" s="25" customFormat="1" ht="87" x14ac:dyDescent="0.35">
      <c r="A18" s="25" t="s">
        <v>579</v>
      </c>
      <c r="B18" s="30">
        <v>381</v>
      </c>
      <c r="C18" s="25" t="s">
        <v>140</v>
      </c>
      <c r="D18" s="25" t="s">
        <v>141</v>
      </c>
      <c r="E18" s="25" t="s">
        <v>76</v>
      </c>
      <c r="F18" s="25" t="s">
        <v>142</v>
      </c>
      <c r="G18" s="25" t="s">
        <v>71</v>
      </c>
      <c r="H18" s="25" t="s">
        <v>112</v>
      </c>
      <c r="I18" s="25" t="s">
        <v>143</v>
      </c>
      <c r="J18" s="25" t="s">
        <v>144</v>
      </c>
    </row>
    <row r="19" spans="1:10" s="25" customFormat="1" ht="43.5" x14ac:dyDescent="0.35">
      <c r="A19" s="25" t="s">
        <v>608</v>
      </c>
      <c r="B19" s="30">
        <v>386</v>
      </c>
      <c r="C19" s="25" t="s">
        <v>146</v>
      </c>
      <c r="D19" s="25" t="s">
        <v>141</v>
      </c>
      <c r="E19" s="25" t="s">
        <v>147</v>
      </c>
      <c r="F19" s="25" t="s">
        <v>70</v>
      </c>
      <c r="G19" s="25" t="s">
        <v>71</v>
      </c>
      <c r="H19" s="25" t="s">
        <v>148</v>
      </c>
      <c r="I19" s="25" t="s">
        <v>149</v>
      </c>
      <c r="J19" s="25" t="s">
        <v>150</v>
      </c>
    </row>
    <row r="20" spans="1:10" s="25" customFormat="1" ht="58" x14ac:dyDescent="0.35">
      <c r="A20" s="25" t="s">
        <v>580</v>
      </c>
      <c r="B20" s="30">
        <v>423.5</v>
      </c>
      <c r="C20" s="25" t="s">
        <v>588</v>
      </c>
      <c r="D20" s="25" t="s">
        <v>152</v>
      </c>
      <c r="E20" s="25" t="s">
        <v>83</v>
      </c>
      <c r="F20" s="25" t="s">
        <v>77</v>
      </c>
      <c r="G20" s="25" t="s">
        <v>71</v>
      </c>
      <c r="H20" s="25" t="s">
        <v>112</v>
      </c>
      <c r="I20" s="25" t="s">
        <v>134</v>
      </c>
      <c r="J20" s="25" t="s">
        <v>153</v>
      </c>
    </row>
    <row r="21" spans="1:10" s="25" customFormat="1" ht="58" x14ac:dyDescent="0.35">
      <c r="A21" s="25" t="s">
        <v>581</v>
      </c>
      <c r="B21" s="30">
        <v>428</v>
      </c>
      <c r="C21" s="25" t="s">
        <v>155</v>
      </c>
      <c r="D21" s="25" t="s">
        <v>152</v>
      </c>
      <c r="E21" s="25" t="s">
        <v>103</v>
      </c>
      <c r="F21" s="25" t="s">
        <v>77</v>
      </c>
      <c r="G21" s="25" t="s">
        <v>71</v>
      </c>
      <c r="H21" s="25" t="s">
        <v>112</v>
      </c>
      <c r="I21" s="25" t="s">
        <v>156</v>
      </c>
      <c r="J21" s="25" t="s">
        <v>157</v>
      </c>
    </row>
    <row r="22" spans="1:10" s="25" customFormat="1" ht="58" x14ac:dyDescent="0.35">
      <c r="A22" s="25" t="s">
        <v>582</v>
      </c>
      <c r="B22" s="30">
        <v>433</v>
      </c>
      <c r="C22" s="25" t="s">
        <v>159</v>
      </c>
      <c r="D22" s="25" t="s">
        <v>152</v>
      </c>
      <c r="E22" s="25" t="s">
        <v>103</v>
      </c>
      <c r="F22" s="25" t="s">
        <v>77</v>
      </c>
      <c r="G22" s="25" t="s">
        <v>71</v>
      </c>
      <c r="H22" s="25" t="s">
        <v>112</v>
      </c>
      <c r="I22" s="25" t="s">
        <v>160</v>
      </c>
      <c r="J22" s="25" t="s">
        <v>157</v>
      </c>
    </row>
    <row r="23" spans="1:10" s="25" customFormat="1" ht="116" x14ac:dyDescent="0.35">
      <c r="A23" s="25" t="s">
        <v>583</v>
      </c>
      <c r="B23" s="30">
        <v>445</v>
      </c>
      <c r="C23" s="25" t="s">
        <v>546</v>
      </c>
      <c r="D23" s="25" t="s">
        <v>161</v>
      </c>
      <c r="E23" s="25" t="s">
        <v>69</v>
      </c>
      <c r="F23" s="25" t="s">
        <v>162</v>
      </c>
      <c r="G23" s="25" t="s">
        <v>129</v>
      </c>
      <c r="H23" s="25" t="s">
        <v>112</v>
      </c>
      <c r="I23" s="25" t="s">
        <v>163</v>
      </c>
      <c r="J23" s="25" t="s">
        <v>164</v>
      </c>
    </row>
    <row r="24" spans="1:10" s="25" customFormat="1" ht="58" x14ac:dyDescent="0.35">
      <c r="A24" s="25" t="s">
        <v>165</v>
      </c>
      <c r="B24" s="30">
        <v>495</v>
      </c>
      <c r="C24" s="25" t="s">
        <v>166</v>
      </c>
      <c r="D24" s="25" t="s">
        <v>112</v>
      </c>
      <c r="E24" s="25" t="s">
        <v>167</v>
      </c>
      <c r="F24" s="25" t="s">
        <v>168</v>
      </c>
      <c r="G24" s="25" t="s">
        <v>71</v>
      </c>
      <c r="H24" s="25" t="s">
        <v>112</v>
      </c>
      <c r="I24" s="25" t="s">
        <v>169</v>
      </c>
      <c r="J24" s="25" t="s">
        <v>170</v>
      </c>
    </row>
    <row r="25" spans="1:10" s="25" customFormat="1" ht="72.5" x14ac:dyDescent="0.35">
      <c r="A25" s="25" t="s">
        <v>614</v>
      </c>
      <c r="B25" s="30" t="s">
        <v>171</v>
      </c>
      <c r="C25" s="25" t="s">
        <v>172</v>
      </c>
      <c r="D25" s="25" t="s">
        <v>173</v>
      </c>
      <c r="E25" s="25" t="s">
        <v>83</v>
      </c>
      <c r="F25" s="25" t="s">
        <v>174</v>
      </c>
      <c r="G25" s="25" t="s">
        <v>123</v>
      </c>
      <c r="H25" s="25" t="s">
        <v>112</v>
      </c>
      <c r="I25" s="25" t="s">
        <v>175</v>
      </c>
      <c r="J25" s="25" t="s">
        <v>176</v>
      </c>
    </row>
    <row r="26" spans="1:10" s="25" customFormat="1" ht="58" x14ac:dyDescent="0.35">
      <c r="A26" s="31" t="s">
        <v>615</v>
      </c>
      <c r="B26" s="32" t="s">
        <v>177</v>
      </c>
      <c r="C26" s="31" t="s">
        <v>112</v>
      </c>
      <c r="D26" s="31" t="s">
        <v>112</v>
      </c>
      <c r="E26" s="31" t="s">
        <v>83</v>
      </c>
      <c r="F26" s="31" t="s">
        <v>174</v>
      </c>
      <c r="G26" s="31" t="s">
        <v>71</v>
      </c>
      <c r="H26" s="31" t="s">
        <v>112</v>
      </c>
      <c r="I26" s="31" t="s">
        <v>178</v>
      </c>
      <c r="J26" s="31" t="s">
        <v>179</v>
      </c>
    </row>
    <row r="27" spans="1:10" s="26" customFormat="1" ht="16.5" x14ac:dyDescent="0.35">
      <c r="A27" s="28" t="s">
        <v>584</v>
      </c>
      <c r="B27" s="33"/>
      <c r="C27" s="33"/>
      <c r="D27" s="33"/>
      <c r="E27" s="33"/>
      <c r="F27" s="33"/>
      <c r="G27" s="33"/>
      <c r="H27" s="33"/>
      <c r="I27" s="33"/>
    </row>
    <row r="28" spans="1:10" s="26" customFormat="1" ht="16.5" x14ac:dyDescent="0.35">
      <c r="A28" s="28" t="s">
        <v>585</v>
      </c>
      <c r="B28" s="33"/>
      <c r="C28" s="33"/>
      <c r="D28" s="33"/>
      <c r="E28" s="33"/>
      <c r="F28" s="33"/>
      <c r="G28" s="33"/>
      <c r="H28" s="33"/>
      <c r="I28" s="33"/>
    </row>
    <row r="29" spans="1:10" s="26" customFormat="1" ht="16.5" x14ac:dyDescent="0.35">
      <c r="A29" s="28" t="s">
        <v>586</v>
      </c>
      <c r="B29" s="33"/>
      <c r="C29" s="33"/>
      <c r="D29" s="33"/>
      <c r="E29" s="33"/>
      <c r="F29" s="33"/>
      <c r="G29" s="33"/>
      <c r="H29" s="33"/>
      <c r="I29" s="33"/>
    </row>
    <row r="30" spans="1:10" s="26" customFormat="1" ht="16.5" x14ac:dyDescent="0.35">
      <c r="A30" s="28" t="s">
        <v>617</v>
      </c>
      <c r="B30" s="33"/>
      <c r="C30" s="33"/>
      <c r="D30" s="33"/>
      <c r="E30" s="33"/>
      <c r="F30" s="33"/>
      <c r="G30" s="33"/>
      <c r="H30" s="33"/>
      <c r="I30" s="33"/>
    </row>
    <row r="31" spans="1:10" s="26" customFormat="1" x14ac:dyDescent="0.35">
      <c r="A31" s="34" t="s">
        <v>616</v>
      </c>
      <c r="B31" s="34"/>
      <c r="C31" s="34"/>
      <c r="D31" s="34"/>
      <c r="E31" s="34"/>
      <c r="F31" s="34"/>
      <c r="G31" s="34"/>
      <c r="H31" s="34"/>
      <c r="I31" s="34"/>
      <c r="J31" s="27"/>
    </row>
    <row r="32" spans="1:10" s="26" customFormat="1" x14ac:dyDescent="0.35">
      <c r="A32" s="28"/>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4BACC9-11F7-4587-B3BA-8491A5C42C7E}">
  <dimension ref="A1:G11"/>
  <sheetViews>
    <sheetView zoomScale="85" zoomScaleNormal="85" workbookViewId="0">
      <pane xSplit="1" ySplit="2" topLeftCell="B3" activePane="bottomRight" state="frozen"/>
      <selection pane="topRight" activeCell="B1" sqref="B1"/>
      <selection pane="bottomLeft" activeCell="A2" sqref="A2"/>
      <selection pane="bottomRight" activeCell="G3" sqref="G3"/>
    </sheetView>
  </sheetViews>
  <sheetFormatPr defaultRowHeight="14.5" x14ac:dyDescent="0.35"/>
  <cols>
    <col min="1" max="1" width="31.7265625" style="35" customWidth="1"/>
    <col min="2" max="2" width="20" style="35" bestFit="1" customWidth="1"/>
    <col min="3" max="3" width="18.26953125" style="35" bestFit="1" customWidth="1"/>
    <col min="4" max="4" width="23.7265625" style="35" bestFit="1" customWidth="1"/>
    <col min="5" max="5" width="52.453125" style="35" bestFit="1" customWidth="1"/>
    <col min="6" max="6" width="38.1796875" style="35" bestFit="1" customWidth="1"/>
    <col min="7" max="7" width="61.6328125" style="35" bestFit="1" customWidth="1"/>
    <col min="8" max="16384" width="8.7265625" style="35"/>
  </cols>
  <sheetData>
    <row r="1" spans="1:7" x14ac:dyDescent="0.35">
      <c r="A1" s="6" t="s">
        <v>631</v>
      </c>
    </row>
    <row r="2" spans="1:7" ht="29" x14ac:dyDescent="0.35">
      <c r="A2" s="47" t="s">
        <v>612</v>
      </c>
      <c r="B2" s="47" t="s">
        <v>345</v>
      </c>
      <c r="C2" s="47" t="s">
        <v>346</v>
      </c>
      <c r="D2" s="47" t="s">
        <v>622</v>
      </c>
      <c r="E2" s="47" t="s">
        <v>347</v>
      </c>
      <c r="F2" s="47" t="s">
        <v>348</v>
      </c>
      <c r="G2" s="47" t="s">
        <v>349</v>
      </c>
    </row>
    <row r="3" spans="1:7" ht="87" x14ac:dyDescent="0.35">
      <c r="A3" s="38" t="s">
        <v>633</v>
      </c>
      <c r="B3" s="37" t="s">
        <v>383</v>
      </c>
      <c r="C3" s="37" t="s">
        <v>384</v>
      </c>
      <c r="D3" s="39" t="s">
        <v>384</v>
      </c>
      <c r="E3" s="36" t="s">
        <v>385</v>
      </c>
      <c r="F3" s="36" t="s">
        <v>386</v>
      </c>
      <c r="G3" s="36" t="s">
        <v>387</v>
      </c>
    </row>
    <row r="4" spans="1:7" ht="101.5" x14ac:dyDescent="0.35">
      <c r="A4" s="43" t="s">
        <v>632</v>
      </c>
      <c r="B4" s="44">
        <v>0.3</v>
      </c>
      <c r="C4" s="45" t="s">
        <v>380</v>
      </c>
      <c r="D4" s="44">
        <v>0.05</v>
      </c>
      <c r="E4" s="46" t="s">
        <v>381</v>
      </c>
      <c r="F4" s="46" t="s">
        <v>635</v>
      </c>
      <c r="G4" s="46" t="s">
        <v>382</v>
      </c>
    </row>
    <row r="5" spans="1:7" ht="72" customHeight="1" x14ac:dyDescent="0.35">
      <c r="A5" s="40" t="s">
        <v>52</v>
      </c>
      <c r="B5" s="42">
        <v>140</v>
      </c>
      <c r="C5" s="37" t="s">
        <v>377</v>
      </c>
      <c r="D5" s="39" t="s">
        <v>629</v>
      </c>
      <c r="E5" s="36" t="s">
        <v>378</v>
      </c>
      <c r="F5" s="36" t="s">
        <v>379</v>
      </c>
      <c r="G5" s="36" t="s">
        <v>630</v>
      </c>
    </row>
    <row r="6" spans="1:7" ht="145" x14ac:dyDescent="0.35">
      <c r="A6" s="40" t="s">
        <v>372</v>
      </c>
      <c r="B6" s="41" t="s">
        <v>518</v>
      </c>
      <c r="C6" s="37" t="s">
        <v>373</v>
      </c>
      <c r="D6" s="37" t="s">
        <v>628</v>
      </c>
      <c r="E6" s="36" t="s">
        <v>374</v>
      </c>
      <c r="F6" s="36" t="s">
        <v>375</v>
      </c>
      <c r="G6" s="36" t="s">
        <v>376</v>
      </c>
    </row>
    <row r="7" spans="1:7" ht="101.5" x14ac:dyDescent="0.35">
      <c r="A7" s="40" t="s">
        <v>44</v>
      </c>
      <c r="B7" s="41" t="s">
        <v>627</v>
      </c>
      <c r="C7" s="41" t="s">
        <v>626</v>
      </c>
      <c r="D7" s="39">
        <v>40</v>
      </c>
      <c r="E7" s="36" t="s">
        <v>369</v>
      </c>
      <c r="F7" s="36" t="s">
        <v>370</v>
      </c>
      <c r="G7" s="36" t="s">
        <v>371</v>
      </c>
    </row>
    <row r="8" spans="1:7" ht="118" customHeight="1" x14ac:dyDescent="0.35">
      <c r="A8" s="38" t="s">
        <v>364</v>
      </c>
      <c r="B8" s="37" t="s">
        <v>625</v>
      </c>
      <c r="C8" s="37" t="s">
        <v>388</v>
      </c>
      <c r="D8" s="39" t="s">
        <v>365</v>
      </c>
      <c r="E8" s="36" t="s">
        <v>366</v>
      </c>
      <c r="F8" s="36" t="s">
        <v>367</v>
      </c>
      <c r="G8" s="36" t="s">
        <v>368</v>
      </c>
    </row>
    <row r="9" spans="1:7" ht="87" x14ac:dyDescent="0.35">
      <c r="A9" s="38" t="s">
        <v>359</v>
      </c>
      <c r="B9" s="37" t="s">
        <v>512</v>
      </c>
      <c r="C9" s="37" t="s">
        <v>360</v>
      </c>
      <c r="D9" s="39" t="s">
        <v>624</v>
      </c>
      <c r="E9" s="36" t="s">
        <v>361</v>
      </c>
      <c r="F9" s="36" t="s">
        <v>362</v>
      </c>
      <c r="G9" s="36" t="s">
        <v>363</v>
      </c>
    </row>
    <row r="10" spans="1:7" ht="72.5" x14ac:dyDescent="0.35">
      <c r="A10" s="36" t="s">
        <v>354</v>
      </c>
      <c r="B10" s="37">
        <v>3800</v>
      </c>
      <c r="C10" s="37" t="s">
        <v>355</v>
      </c>
      <c r="D10" s="37" t="s">
        <v>623</v>
      </c>
      <c r="E10" s="36" t="s">
        <v>356</v>
      </c>
      <c r="F10" s="36" t="s">
        <v>357</v>
      </c>
      <c r="G10" s="36" t="s">
        <v>358</v>
      </c>
    </row>
    <row r="11" spans="1:7" ht="87" x14ac:dyDescent="0.35">
      <c r="A11" s="48" t="s">
        <v>350</v>
      </c>
      <c r="B11" s="49" t="s">
        <v>351</v>
      </c>
      <c r="C11" s="49" t="s">
        <v>619</v>
      </c>
      <c r="D11" s="49" t="s">
        <v>620</v>
      </c>
      <c r="E11" s="48" t="s">
        <v>352</v>
      </c>
      <c r="F11" s="48" t="s">
        <v>353</v>
      </c>
      <c r="G11" s="48" t="s">
        <v>621</v>
      </c>
    </row>
  </sheetData>
  <autoFilter ref="A2:G11" xr:uid="{CD4BACC9-11F7-4587-B3BA-8491A5C42C7E}"/>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F304E2-6C20-4556-A90D-7FEB65027DDB}">
  <dimension ref="A1:K36"/>
  <sheetViews>
    <sheetView zoomScale="80" zoomScaleNormal="80" workbookViewId="0">
      <pane xSplit="1" ySplit="1" topLeftCell="B2" activePane="bottomRight" state="frozen"/>
      <selection pane="topRight" activeCell="B1" sqref="B1"/>
      <selection pane="bottomLeft" activeCell="A2" sqref="A2"/>
      <selection pane="bottomRight" activeCell="B20" sqref="B20"/>
    </sheetView>
  </sheetViews>
  <sheetFormatPr defaultRowHeight="14.5" x14ac:dyDescent="0.35"/>
  <cols>
    <col min="1" max="1" width="37.6328125" style="2" customWidth="1"/>
    <col min="2" max="2" width="21.81640625" style="2" bestFit="1" customWidth="1"/>
    <col min="3" max="3" width="7.6328125" style="2" bestFit="1" customWidth="1"/>
    <col min="4" max="4" width="15.08984375" style="2" bestFit="1" customWidth="1"/>
    <col min="5" max="5" width="18.54296875" style="2" bestFit="1" customWidth="1"/>
    <col min="6" max="6" width="36.90625" style="2" bestFit="1" customWidth="1"/>
    <col min="7" max="7" width="27.81640625" style="11" bestFit="1" customWidth="1"/>
    <col min="8" max="8" width="23.54296875" style="5" bestFit="1" customWidth="1"/>
    <col min="9" max="9" width="23.81640625" style="5" bestFit="1" customWidth="1"/>
    <col min="10" max="10" width="22.90625" style="5" bestFit="1" customWidth="1"/>
    <col min="11" max="11" width="26.7265625" style="4" customWidth="1"/>
    <col min="12" max="16384" width="8.7265625" style="2"/>
  </cols>
  <sheetData>
    <row r="1" spans="1:11" s="1" customFormat="1" x14ac:dyDescent="0.35">
      <c r="A1" s="3" t="s">
        <v>221</v>
      </c>
      <c r="B1" s="3" t="s">
        <v>53</v>
      </c>
      <c r="C1" s="3" t="s">
        <v>58</v>
      </c>
      <c r="D1" s="3" t="s">
        <v>59</v>
      </c>
      <c r="E1" s="3" t="s">
        <v>43</v>
      </c>
      <c r="F1" s="3" t="s">
        <v>183</v>
      </c>
      <c r="G1" s="8" t="s">
        <v>474</v>
      </c>
      <c r="H1" s="9" t="s">
        <v>391</v>
      </c>
      <c r="I1" s="9" t="s">
        <v>392</v>
      </c>
      <c r="J1" s="9" t="s">
        <v>393</v>
      </c>
      <c r="K1" s="3" t="s">
        <v>394</v>
      </c>
    </row>
    <row r="2" spans="1:11" x14ac:dyDescent="0.35">
      <c r="A2" s="4" t="s">
        <v>567</v>
      </c>
      <c r="B2" s="4" t="s">
        <v>570</v>
      </c>
      <c r="C2" s="4"/>
      <c r="D2" s="4"/>
      <c r="E2" s="4" t="s">
        <v>571</v>
      </c>
      <c r="F2" s="2" t="s">
        <v>69</v>
      </c>
      <c r="G2" s="10">
        <v>-1.1000000000000001E-3</v>
      </c>
      <c r="H2" s="5">
        <v>70</v>
      </c>
      <c r="I2" s="5">
        <v>53000</v>
      </c>
      <c r="J2" s="5">
        <v>3300</v>
      </c>
      <c r="K2" s="4" t="s">
        <v>395</v>
      </c>
    </row>
    <row r="3" spans="1:11" x14ac:dyDescent="0.35">
      <c r="A3" s="4" t="s">
        <v>462</v>
      </c>
      <c r="B3" s="4" t="s">
        <v>464</v>
      </c>
      <c r="C3" s="4"/>
      <c r="D3" s="4"/>
      <c r="E3" s="4" t="s">
        <v>182</v>
      </c>
      <c r="F3" s="2" t="s">
        <v>69</v>
      </c>
      <c r="G3" s="10">
        <v>-1.1000000000000001E-3</v>
      </c>
      <c r="H3" s="5">
        <v>70</v>
      </c>
      <c r="I3" s="5">
        <v>53000</v>
      </c>
      <c r="J3" s="5">
        <v>3300</v>
      </c>
      <c r="K3" s="4" t="s">
        <v>395</v>
      </c>
    </row>
    <row r="4" spans="1:11" x14ac:dyDescent="0.35">
      <c r="A4" s="4" t="s">
        <v>568</v>
      </c>
      <c r="B4" s="4" t="s">
        <v>569</v>
      </c>
      <c r="C4" s="4"/>
      <c r="D4" s="4"/>
      <c r="E4" s="4" t="s">
        <v>571</v>
      </c>
      <c r="F4" s="2" t="s">
        <v>69</v>
      </c>
      <c r="G4" s="10">
        <v>-1E-4</v>
      </c>
      <c r="H4" s="5">
        <v>70</v>
      </c>
      <c r="I4" s="5">
        <v>50000</v>
      </c>
      <c r="J4" s="5">
        <v>300</v>
      </c>
      <c r="K4" s="4" t="s">
        <v>395</v>
      </c>
    </row>
    <row r="5" spans="1:11" x14ac:dyDescent="0.35">
      <c r="A5" s="4" t="s">
        <v>428</v>
      </c>
      <c r="B5" s="4" t="s">
        <v>463</v>
      </c>
      <c r="C5" s="4"/>
      <c r="D5" s="4"/>
      <c r="E5" s="4" t="s">
        <v>182</v>
      </c>
      <c r="F5" s="2" t="s">
        <v>69</v>
      </c>
      <c r="G5" s="10">
        <v>-1E-4</v>
      </c>
      <c r="H5" s="5">
        <v>70</v>
      </c>
      <c r="I5" s="5">
        <v>50000</v>
      </c>
      <c r="J5" s="5">
        <v>300</v>
      </c>
      <c r="K5" s="4" t="s">
        <v>395</v>
      </c>
    </row>
    <row r="6" spans="1:11" x14ac:dyDescent="0.35">
      <c r="A6" s="4" t="s">
        <v>396</v>
      </c>
      <c r="B6" s="4" t="s">
        <v>397</v>
      </c>
      <c r="C6" s="4"/>
      <c r="D6" s="4"/>
      <c r="E6" s="4" t="s">
        <v>397</v>
      </c>
      <c r="F6" s="2" t="s">
        <v>69</v>
      </c>
      <c r="G6" s="11">
        <v>0</v>
      </c>
      <c r="H6" s="5">
        <v>70</v>
      </c>
      <c r="I6" s="5">
        <v>50000</v>
      </c>
      <c r="J6" s="5">
        <v>200</v>
      </c>
      <c r="K6" s="4" t="s">
        <v>438</v>
      </c>
    </row>
    <row r="7" spans="1:11" x14ac:dyDescent="0.35">
      <c r="A7" s="4" t="s">
        <v>480</v>
      </c>
      <c r="B7" s="4" t="s">
        <v>481</v>
      </c>
      <c r="C7" s="4"/>
      <c r="D7" s="4"/>
      <c r="E7" s="4" t="s">
        <v>49</v>
      </c>
      <c r="F7" s="4" t="s">
        <v>69</v>
      </c>
      <c r="G7" s="11">
        <v>2.6</v>
      </c>
      <c r="H7" s="5">
        <v>100000</v>
      </c>
      <c r="I7" s="5">
        <v>1000000</v>
      </c>
      <c r="J7" s="5">
        <v>500000</v>
      </c>
      <c r="K7" s="4" t="s">
        <v>493</v>
      </c>
    </row>
    <row r="8" spans="1:11" x14ac:dyDescent="0.35">
      <c r="A8" s="2" t="s">
        <v>187</v>
      </c>
      <c r="B8" s="4" t="s">
        <v>200</v>
      </c>
      <c r="E8" s="4" t="s">
        <v>49</v>
      </c>
      <c r="F8" s="2" t="s">
        <v>76</v>
      </c>
      <c r="G8" s="11">
        <v>34</v>
      </c>
      <c r="H8" s="5">
        <v>5000</v>
      </c>
      <c r="I8" s="5">
        <v>1000000</v>
      </c>
      <c r="J8" s="5">
        <v>100000</v>
      </c>
      <c r="K8" s="4" t="s">
        <v>222</v>
      </c>
    </row>
    <row r="9" spans="1:11" x14ac:dyDescent="0.35">
      <c r="A9" s="4" t="s">
        <v>42</v>
      </c>
      <c r="B9" s="4" t="s">
        <v>56</v>
      </c>
      <c r="C9" s="4"/>
      <c r="D9" s="4"/>
      <c r="E9" s="4" t="s">
        <v>49</v>
      </c>
      <c r="F9" s="2" t="s">
        <v>83</v>
      </c>
      <c r="G9" s="11">
        <v>56</v>
      </c>
      <c r="H9" s="5">
        <v>95000</v>
      </c>
      <c r="I9" s="5">
        <v>290000</v>
      </c>
      <c r="J9" s="5">
        <v>150000</v>
      </c>
      <c r="K9" s="4" t="s">
        <v>225</v>
      </c>
    </row>
    <row r="10" spans="1:11" x14ac:dyDescent="0.35">
      <c r="A10" s="4" t="s">
        <v>41</v>
      </c>
      <c r="B10" s="4" t="s">
        <v>55</v>
      </c>
      <c r="C10" s="4" t="s">
        <v>60</v>
      </c>
      <c r="D10" s="4" t="s">
        <v>60</v>
      </c>
      <c r="E10" s="4" t="s">
        <v>49</v>
      </c>
      <c r="F10" s="2" t="s">
        <v>88</v>
      </c>
      <c r="G10" s="11">
        <v>66</v>
      </c>
      <c r="H10" s="5">
        <v>9.9999999999999995E-8</v>
      </c>
      <c r="I10" s="5">
        <v>185000</v>
      </c>
      <c r="J10" s="5">
        <v>30</v>
      </c>
      <c r="K10" s="4" t="s">
        <v>534</v>
      </c>
    </row>
    <row r="11" spans="1:11" x14ac:dyDescent="0.35">
      <c r="A11" s="2" t="s">
        <v>537</v>
      </c>
      <c r="B11" s="4" t="s">
        <v>189</v>
      </c>
      <c r="E11" s="4" t="s">
        <v>49</v>
      </c>
      <c r="F11" s="2" t="s">
        <v>83</v>
      </c>
      <c r="G11" s="11">
        <v>94</v>
      </c>
      <c r="H11" s="5">
        <v>30000</v>
      </c>
      <c r="I11" s="5">
        <v>930000</v>
      </c>
      <c r="J11" s="5">
        <v>500000</v>
      </c>
      <c r="K11" s="4" t="s">
        <v>248</v>
      </c>
    </row>
    <row r="12" spans="1:11" x14ac:dyDescent="0.35">
      <c r="A12" s="2" t="s">
        <v>538</v>
      </c>
      <c r="B12" s="4" t="s">
        <v>190</v>
      </c>
      <c r="E12" s="4" t="s">
        <v>49</v>
      </c>
      <c r="F12" s="2" t="s">
        <v>83</v>
      </c>
      <c r="G12" s="11">
        <v>120</v>
      </c>
      <c r="H12" s="5">
        <v>115000</v>
      </c>
      <c r="I12" s="5">
        <v>1116000</v>
      </c>
      <c r="J12" s="5">
        <v>500000</v>
      </c>
      <c r="K12" s="4" t="s">
        <v>251</v>
      </c>
    </row>
    <row r="13" spans="1:11" x14ac:dyDescent="0.35">
      <c r="A13" s="4" t="s">
        <v>398</v>
      </c>
      <c r="B13" s="4" t="s">
        <v>412</v>
      </c>
      <c r="C13" s="4"/>
      <c r="D13" s="4"/>
      <c r="E13" s="4" t="s">
        <v>50</v>
      </c>
      <c r="F13" s="4" t="s">
        <v>399</v>
      </c>
      <c r="G13" s="10">
        <v>140</v>
      </c>
      <c r="H13" s="5">
        <v>50000000</v>
      </c>
      <c r="I13" s="5">
        <v>100000000</v>
      </c>
      <c r="J13" s="5">
        <v>75000000</v>
      </c>
      <c r="K13" s="4" t="s">
        <v>519</v>
      </c>
    </row>
    <row r="14" spans="1:11" x14ac:dyDescent="0.35">
      <c r="A14" s="4" t="s">
        <v>419</v>
      </c>
      <c r="B14" s="4" t="s">
        <v>205</v>
      </c>
      <c r="C14" s="4"/>
      <c r="D14" s="4"/>
      <c r="E14" s="4" t="s">
        <v>49</v>
      </c>
      <c r="F14" s="2" t="s">
        <v>76</v>
      </c>
      <c r="G14" s="11">
        <v>143.1</v>
      </c>
      <c r="H14" s="5">
        <v>100000</v>
      </c>
      <c r="I14" s="5">
        <v>5000000</v>
      </c>
      <c r="J14" s="5">
        <v>1000000</v>
      </c>
      <c r="K14" s="4" t="s">
        <v>420</v>
      </c>
    </row>
    <row r="15" spans="1:11" x14ac:dyDescent="0.35">
      <c r="A15" s="2" t="s">
        <v>97</v>
      </c>
      <c r="B15" s="4" t="s">
        <v>191</v>
      </c>
      <c r="E15" s="4" t="s">
        <v>49</v>
      </c>
      <c r="F15" s="2" t="s">
        <v>76</v>
      </c>
      <c r="G15" s="11">
        <v>183</v>
      </c>
      <c r="H15" s="5">
        <v>40000</v>
      </c>
      <c r="I15" s="5">
        <v>1000000</v>
      </c>
      <c r="J15" s="5">
        <v>500000</v>
      </c>
      <c r="K15" s="4" t="s">
        <v>256</v>
      </c>
    </row>
    <row r="16" spans="1:11" x14ac:dyDescent="0.35">
      <c r="A16" s="4" t="s">
        <v>102</v>
      </c>
      <c r="B16" s="4" t="s">
        <v>184</v>
      </c>
      <c r="C16" s="2" t="s">
        <v>60</v>
      </c>
      <c r="E16" s="4" t="s">
        <v>49</v>
      </c>
      <c r="F16" s="2" t="s">
        <v>103</v>
      </c>
      <c r="G16" s="11">
        <v>201</v>
      </c>
      <c r="H16" s="5">
        <v>40000</v>
      </c>
      <c r="I16" s="5">
        <v>1100000</v>
      </c>
      <c r="J16" s="5">
        <v>85000</v>
      </c>
      <c r="K16" s="4" t="s">
        <v>264</v>
      </c>
    </row>
    <row r="17" spans="1:11" x14ac:dyDescent="0.35">
      <c r="A17" s="2" t="s">
        <v>106</v>
      </c>
      <c r="B17" s="4" t="s">
        <v>405</v>
      </c>
      <c r="E17" s="4" t="s">
        <v>49</v>
      </c>
      <c r="F17" s="2" t="s">
        <v>110</v>
      </c>
      <c r="G17" s="11">
        <v>234</v>
      </c>
      <c r="H17" s="5">
        <v>800000</v>
      </c>
      <c r="I17" s="5">
        <v>1200000</v>
      </c>
      <c r="J17" s="5">
        <v>1090000</v>
      </c>
      <c r="K17" s="4" t="s">
        <v>276</v>
      </c>
    </row>
    <row r="18" spans="1:11" x14ac:dyDescent="0.35">
      <c r="A18" s="2" t="s">
        <v>115</v>
      </c>
      <c r="B18" s="4" t="s">
        <v>226</v>
      </c>
      <c r="E18" s="4" t="s">
        <v>49</v>
      </c>
      <c r="F18" s="2" t="s">
        <v>76</v>
      </c>
      <c r="G18" s="11">
        <v>248</v>
      </c>
      <c r="H18" s="5">
        <v>100000</v>
      </c>
      <c r="I18" s="5">
        <v>1800000</v>
      </c>
      <c r="J18" s="5">
        <v>1000000</v>
      </c>
      <c r="K18" s="4" t="s">
        <v>281</v>
      </c>
    </row>
    <row r="19" spans="1:11" x14ac:dyDescent="0.35">
      <c r="A19" s="4" t="s">
        <v>536</v>
      </c>
      <c r="B19" s="4" t="s">
        <v>54</v>
      </c>
      <c r="C19" s="4" t="s">
        <v>60</v>
      </c>
      <c r="D19" s="4" t="s">
        <v>60</v>
      </c>
      <c r="E19" s="4" t="s">
        <v>49</v>
      </c>
      <c r="F19" s="2" t="s">
        <v>88</v>
      </c>
      <c r="G19" s="11">
        <v>252</v>
      </c>
      <c r="H19" s="5">
        <v>10000</v>
      </c>
      <c r="I19" s="5">
        <v>1000000</v>
      </c>
      <c r="J19" s="5">
        <v>60000</v>
      </c>
      <c r="K19" s="4" t="s">
        <v>535</v>
      </c>
    </row>
    <row r="20" spans="1:11" x14ac:dyDescent="0.35">
      <c r="A20" s="2" t="s">
        <v>125</v>
      </c>
      <c r="B20" s="4" t="s">
        <v>406</v>
      </c>
      <c r="E20" s="4" t="s">
        <v>49</v>
      </c>
      <c r="F20" s="2" t="s">
        <v>103</v>
      </c>
      <c r="G20" s="11">
        <v>262</v>
      </c>
      <c r="H20" s="5">
        <v>500000</v>
      </c>
      <c r="I20" s="5">
        <v>4000000</v>
      </c>
      <c r="J20" s="5">
        <v>1500000</v>
      </c>
      <c r="K20" s="4" t="s">
        <v>290</v>
      </c>
    </row>
    <row r="21" spans="1:11" x14ac:dyDescent="0.35">
      <c r="A21" s="2" t="s">
        <v>208</v>
      </c>
      <c r="B21" s="4" t="s">
        <v>407</v>
      </c>
      <c r="E21" s="4" t="s">
        <v>49</v>
      </c>
      <c r="F21" s="2" t="s">
        <v>69</v>
      </c>
      <c r="G21" s="11">
        <v>325</v>
      </c>
      <c r="H21" s="5">
        <v>1000000</v>
      </c>
      <c r="I21" s="5">
        <v>7000000</v>
      </c>
      <c r="J21" s="5">
        <v>4000000</v>
      </c>
      <c r="K21" s="4" t="s">
        <v>334</v>
      </c>
    </row>
    <row r="22" spans="1:11" x14ac:dyDescent="0.35">
      <c r="A22" s="2" t="s">
        <v>131</v>
      </c>
      <c r="B22" s="4" t="s">
        <v>408</v>
      </c>
      <c r="E22" s="4" t="s">
        <v>49</v>
      </c>
      <c r="F22" s="2" t="s">
        <v>132</v>
      </c>
      <c r="G22" s="11">
        <v>360</v>
      </c>
      <c r="H22" s="5">
        <v>50000</v>
      </c>
      <c r="I22" s="5">
        <v>300000</v>
      </c>
      <c r="J22" s="5">
        <v>100000</v>
      </c>
      <c r="K22" s="4" t="s">
        <v>339</v>
      </c>
    </row>
    <row r="23" spans="1:11" x14ac:dyDescent="0.35">
      <c r="A23" s="4" t="s">
        <v>207</v>
      </c>
      <c r="B23" s="4" t="s">
        <v>57</v>
      </c>
      <c r="C23" s="4" t="s">
        <v>60</v>
      </c>
      <c r="D23" s="4"/>
      <c r="E23" s="4" t="s">
        <v>49</v>
      </c>
      <c r="F23" s="2" t="s">
        <v>76</v>
      </c>
      <c r="G23" s="11">
        <v>371</v>
      </c>
      <c r="H23" s="5">
        <v>90000</v>
      </c>
      <c r="I23" s="5">
        <v>600000</v>
      </c>
      <c r="J23" s="5">
        <v>100000</v>
      </c>
      <c r="K23" s="4" t="s">
        <v>344</v>
      </c>
    </row>
    <row r="24" spans="1:11" s="22" customFormat="1" x14ac:dyDescent="0.35">
      <c r="A24" s="22" t="s">
        <v>139</v>
      </c>
      <c r="B24" s="16" t="s">
        <v>409</v>
      </c>
      <c r="E24" s="16" t="s">
        <v>49</v>
      </c>
      <c r="F24" s="22" t="s">
        <v>76</v>
      </c>
      <c r="G24" s="23">
        <v>381</v>
      </c>
      <c r="H24" s="17">
        <v>100000</v>
      </c>
      <c r="I24" s="17">
        <v>2000000</v>
      </c>
      <c r="J24" s="17">
        <v>1500000</v>
      </c>
      <c r="K24" s="16" t="s">
        <v>140</v>
      </c>
    </row>
    <row r="25" spans="1:11" s="22" customFormat="1" x14ac:dyDescent="0.35">
      <c r="A25" s="22" t="s">
        <v>145</v>
      </c>
      <c r="B25" s="16" t="s">
        <v>227</v>
      </c>
      <c r="E25" s="16" t="s">
        <v>49</v>
      </c>
      <c r="F25" s="22" t="s">
        <v>147</v>
      </c>
      <c r="G25" s="23">
        <v>386</v>
      </c>
      <c r="H25" s="17">
        <v>10000</v>
      </c>
      <c r="I25" s="17">
        <v>370000</v>
      </c>
      <c r="J25" s="17">
        <v>100000</v>
      </c>
      <c r="K25" s="16" t="s">
        <v>436</v>
      </c>
    </row>
    <row r="26" spans="1:11" s="22" customFormat="1" x14ac:dyDescent="0.35">
      <c r="A26" s="22" t="s">
        <v>151</v>
      </c>
      <c r="B26" s="16" t="s">
        <v>198</v>
      </c>
      <c r="E26" s="16" t="s">
        <v>49</v>
      </c>
      <c r="F26" s="22" t="s">
        <v>83</v>
      </c>
      <c r="G26" s="23">
        <v>423.5</v>
      </c>
      <c r="H26" s="17">
        <v>100000</v>
      </c>
      <c r="I26" s="17">
        <v>1000000</v>
      </c>
      <c r="J26" s="17">
        <v>500000</v>
      </c>
      <c r="K26" s="16" t="s">
        <v>587</v>
      </c>
    </row>
    <row r="27" spans="1:11" s="22" customFormat="1" x14ac:dyDescent="0.35">
      <c r="A27" s="22" t="s">
        <v>154</v>
      </c>
      <c r="B27" s="16" t="s">
        <v>204</v>
      </c>
      <c r="E27" s="16" t="s">
        <v>49</v>
      </c>
      <c r="F27" s="22" t="s">
        <v>103</v>
      </c>
      <c r="G27" s="23">
        <v>428</v>
      </c>
      <c r="H27" s="17">
        <v>100000</v>
      </c>
      <c r="I27" s="17">
        <v>2000000</v>
      </c>
      <c r="J27" s="17">
        <v>1000000</v>
      </c>
      <c r="K27" s="16" t="s">
        <v>155</v>
      </c>
    </row>
    <row r="28" spans="1:11" s="22" customFormat="1" x14ac:dyDescent="0.35">
      <c r="A28" s="22" t="s">
        <v>158</v>
      </c>
      <c r="B28" s="16" t="s">
        <v>410</v>
      </c>
      <c r="E28" s="16" t="s">
        <v>49</v>
      </c>
      <c r="F28" s="22" t="s">
        <v>103</v>
      </c>
      <c r="G28" s="23">
        <v>433</v>
      </c>
      <c r="H28" s="17">
        <v>100000</v>
      </c>
      <c r="I28" s="17">
        <v>1500000</v>
      </c>
      <c r="J28" s="17">
        <v>1000000</v>
      </c>
      <c r="K28" s="16" t="s">
        <v>159</v>
      </c>
    </row>
    <row r="29" spans="1:11" s="22" customFormat="1" x14ac:dyDescent="0.35">
      <c r="A29" s="16" t="s">
        <v>425</v>
      </c>
      <c r="B29" s="16" t="s">
        <v>61</v>
      </c>
      <c r="C29" s="22" t="s">
        <v>60</v>
      </c>
      <c r="D29" s="22" t="s">
        <v>60</v>
      </c>
      <c r="E29" s="16" t="s">
        <v>49</v>
      </c>
      <c r="F29" s="22" t="s">
        <v>69</v>
      </c>
      <c r="G29" s="23">
        <v>445</v>
      </c>
      <c r="H29" s="17">
        <v>60000</v>
      </c>
      <c r="I29" s="17">
        <v>1400000</v>
      </c>
      <c r="J29" s="17">
        <v>500000</v>
      </c>
      <c r="K29" s="16" t="s">
        <v>543</v>
      </c>
    </row>
    <row r="30" spans="1:11" x14ac:dyDescent="0.35">
      <c r="A30" s="4" t="s">
        <v>390</v>
      </c>
      <c r="B30" s="4" t="s">
        <v>411</v>
      </c>
      <c r="C30" s="4"/>
      <c r="D30" s="4"/>
      <c r="E30" s="4" t="s">
        <v>50</v>
      </c>
      <c r="F30" s="4" t="s">
        <v>426</v>
      </c>
      <c r="G30" s="10">
        <v>475</v>
      </c>
      <c r="H30" s="5">
        <v>30000000</v>
      </c>
      <c r="I30" s="5">
        <v>90000000</v>
      </c>
      <c r="J30" s="5">
        <v>60000000</v>
      </c>
      <c r="K30" s="4" t="s">
        <v>402</v>
      </c>
    </row>
    <row r="31" spans="1:11" x14ac:dyDescent="0.35">
      <c r="A31" s="2" t="s">
        <v>165</v>
      </c>
      <c r="B31" s="2" t="s">
        <v>192</v>
      </c>
      <c r="E31" s="4" t="s">
        <v>49</v>
      </c>
      <c r="F31" s="2" t="s">
        <v>427</v>
      </c>
      <c r="G31" s="11">
        <v>495</v>
      </c>
      <c r="H31" s="5">
        <v>1600000</v>
      </c>
      <c r="I31" s="5">
        <v>3500000</v>
      </c>
      <c r="J31" s="5">
        <v>2600000</v>
      </c>
      <c r="K31" s="4" t="s">
        <v>330</v>
      </c>
    </row>
    <row r="32" spans="1:11" x14ac:dyDescent="0.35">
      <c r="A32" s="2" t="s">
        <v>186</v>
      </c>
      <c r="B32" s="2" t="s">
        <v>193</v>
      </c>
      <c r="E32" s="4" t="s">
        <v>49</v>
      </c>
      <c r="F32" s="2" t="s">
        <v>83</v>
      </c>
      <c r="G32" s="11">
        <v>507</v>
      </c>
      <c r="H32" s="5">
        <v>10000</v>
      </c>
      <c r="I32" s="5">
        <v>1000000</v>
      </c>
      <c r="J32" s="5">
        <v>500000</v>
      </c>
      <c r="K32" s="4" t="s">
        <v>327</v>
      </c>
    </row>
    <row r="33" spans="1:11" x14ac:dyDescent="0.35">
      <c r="A33" s="2" t="s">
        <v>185</v>
      </c>
      <c r="B33" s="2" t="s">
        <v>194</v>
      </c>
      <c r="E33" s="4" t="s">
        <v>49</v>
      </c>
      <c r="F33" s="2" t="s">
        <v>83</v>
      </c>
      <c r="G33" s="11">
        <v>513</v>
      </c>
      <c r="H33" s="5">
        <v>10000</v>
      </c>
      <c r="I33" s="5">
        <v>2600000</v>
      </c>
      <c r="J33" s="5">
        <v>1000000</v>
      </c>
      <c r="K33" s="4" t="s">
        <v>324</v>
      </c>
    </row>
    <row r="34" spans="1:11" x14ac:dyDescent="0.35">
      <c r="A34" s="4" t="s">
        <v>437</v>
      </c>
      <c r="B34" s="4" t="s">
        <v>413</v>
      </c>
      <c r="C34" s="4"/>
      <c r="D34" s="4"/>
      <c r="E34" s="4" t="s">
        <v>50</v>
      </c>
      <c r="F34" s="4" t="s">
        <v>399</v>
      </c>
      <c r="G34" s="10">
        <v>545</v>
      </c>
      <c r="H34" s="5">
        <v>1000000</v>
      </c>
      <c r="I34" s="5">
        <v>40000000</v>
      </c>
      <c r="J34" s="5">
        <v>40000000</v>
      </c>
      <c r="K34" s="4" t="s">
        <v>517</v>
      </c>
    </row>
    <row r="35" spans="1:11" x14ac:dyDescent="0.35">
      <c r="A35" s="4" t="s">
        <v>389</v>
      </c>
      <c r="B35" s="2" t="s">
        <v>414</v>
      </c>
      <c r="E35" s="4" t="s">
        <v>50</v>
      </c>
      <c r="F35" s="2" t="s">
        <v>181</v>
      </c>
      <c r="G35" s="11">
        <v>2220</v>
      </c>
      <c r="H35" s="5">
        <v>10000000</v>
      </c>
      <c r="I35" s="5">
        <v>1000000000</v>
      </c>
      <c r="J35" s="5">
        <v>100000000</v>
      </c>
      <c r="K35" s="4" t="s">
        <v>417</v>
      </c>
    </row>
    <row r="36" spans="1:11" x14ac:dyDescent="0.35">
      <c r="A36" s="4" t="s">
        <v>547</v>
      </c>
      <c r="B36" s="4" t="s">
        <v>51</v>
      </c>
      <c r="C36" s="4"/>
      <c r="D36" s="4"/>
      <c r="E36" s="4" t="s">
        <v>50</v>
      </c>
      <c r="F36" s="4" t="s">
        <v>181</v>
      </c>
      <c r="G36" s="10">
        <v>2400</v>
      </c>
      <c r="H36" s="5">
        <v>200000000</v>
      </c>
      <c r="I36" s="5">
        <v>1500000000</v>
      </c>
      <c r="J36" s="5">
        <v>500000000</v>
      </c>
      <c r="K36" s="4" t="s">
        <v>418</v>
      </c>
    </row>
  </sheetData>
  <autoFilter ref="A1:K36" xr:uid="{62F304E2-6C20-4556-A90D-7FEB65027DDB}">
    <sortState xmlns:xlrd2="http://schemas.microsoft.com/office/spreadsheetml/2017/richdata2" ref="A2:K36">
      <sortCondition ref="G1:G36"/>
    </sortState>
  </autoFilter>
  <sortState xmlns:xlrd2="http://schemas.microsoft.com/office/spreadsheetml/2017/richdata2" ref="A29:G32">
    <sortCondition ref="G29:G32"/>
  </sortState>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E18F2A-9679-4EF9-AF0E-D8FFC761CBFC}">
  <dimension ref="A1:E13"/>
  <sheetViews>
    <sheetView workbookViewId="0">
      <selection activeCell="B3" sqref="B3"/>
    </sheetView>
  </sheetViews>
  <sheetFormatPr defaultRowHeight="14.5" x14ac:dyDescent="0.35"/>
  <cols>
    <col min="1" max="1" width="13.6328125" bestFit="1" customWidth="1"/>
    <col min="2" max="2" width="17" bestFit="1" customWidth="1"/>
    <col min="3" max="3" width="21.26953125" bestFit="1" customWidth="1"/>
    <col min="4" max="4" width="21.54296875" bestFit="1" customWidth="1"/>
    <col min="5" max="5" width="20.54296875" bestFit="1" customWidth="1"/>
  </cols>
  <sheetData>
    <row r="1" spans="1:5" s="1" customFormat="1" x14ac:dyDescent="0.35">
      <c r="A1" s="52" t="s">
        <v>509</v>
      </c>
      <c r="B1" s="52" t="s">
        <v>510</v>
      </c>
      <c r="C1" s="53" t="s">
        <v>391</v>
      </c>
      <c r="D1" s="53" t="s">
        <v>392</v>
      </c>
      <c r="E1" s="53" t="s">
        <v>393</v>
      </c>
    </row>
    <row r="2" spans="1:5" x14ac:dyDescent="0.35">
      <c r="A2" s="4" t="s">
        <v>50</v>
      </c>
      <c r="B2" s="4" t="s">
        <v>507</v>
      </c>
      <c r="C2" s="21">
        <f>AVERAGEIF(table_s3_events!$E$2:$E$36, $A$2, table_s3_events!$H$2:$H$36)</f>
        <v>58200000</v>
      </c>
      <c r="D2" s="21">
        <f>AVERAGEIF(table_s3_events!$E$2:$E$36, $A$2, table_s3_events!$I$2:$I$36)</f>
        <v>546000000</v>
      </c>
      <c r="E2" s="21">
        <f>AVERAGEIF(table_s3_events!$E$2:$E$36, $A$2, table_s3_events!$J$2:$J$36)</f>
        <v>155000000</v>
      </c>
    </row>
    <row r="3" spans="1:5" x14ac:dyDescent="0.35">
      <c r="A3" s="4" t="s">
        <v>50</v>
      </c>
      <c r="B3" s="4" t="s">
        <v>508</v>
      </c>
      <c r="C3" s="21" cm="1">
        <f t="array" ref="C3">MEDIAN(IF(table_s3_events!$E$2:$E$36 = $A$3, table_s3_events!$H$2:$H$36))</f>
        <v>30000000</v>
      </c>
      <c r="D3" s="21" cm="1">
        <f t="array" ref="D3">MEDIAN(IF(table_s3_events!$E$2:$E$36 = $A$3, table_s3_events!$I$2:$I$36))</f>
        <v>100000000</v>
      </c>
      <c r="E3" s="21" cm="1">
        <f t="array" ref="E3">MEDIAN(IF(table_s3_events!$E$2:$E$36 = $A$3, table_s3_events!$J$2:$J$36))</f>
        <v>75000000</v>
      </c>
    </row>
    <row r="4" spans="1:5" x14ac:dyDescent="0.35">
      <c r="A4" s="4" t="s">
        <v>50</v>
      </c>
      <c r="B4" s="4" t="s">
        <v>511</v>
      </c>
      <c r="C4" s="21" cm="1">
        <f t="array" ref="C4">_xlfn.STDEV.P(IF(table_s3_events!$E$2:$E$36=$A$4, table_s3_events!$H$2:$H$36))</f>
        <v>72890054.191226944</v>
      </c>
      <c r="D4" s="21" cm="1">
        <f t="array" ref="D4">_xlfn.STDEV.P(IF(table_s3_events!$E$2:$E$36=$A$4, table_s3_events!$I$2:$I$36))</f>
        <v>596509849.03855526</v>
      </c>
      <c r="E4" s="21" cm="1">
        <f t="array" ref="E4">_xlfn.STDEV.P(IF(table_s3_events!$E$2:$E$36=$A$4, table_s3_events!$J$2:$J$36))</f>
        <v>173608755.53957525</v>
      </c>
    </row>
    <row r="5" spans="1:5" x14ac:dyDescent="0.35">
      <c r="A5" s="4" t="s">
        <v>50</v>
      </c>
      <c r="B5" s="4" t="s">
        <v>551</v>
      </c>
      <c r="C5" s="21" cm="1">
        <f t="array" ref="C5">MAX(IF(table_s3_events!$E$2:$E$36=$A$5, table_s3_events!$H$2:$H$36))</f>
        <v>200000000</v>
      </c>
      <c r="D5" s="21" cm="1">
        <f t="array" ref="D5">MAX(IF(table_s3_events!$E$2:$E$36=$A$4, table_s3_events!$I$2:$I$36))</f>
        <v>1500000000</v>
      </c>
      <c r="E5" s="21" cm="1">
        <f t="array" ref="E5">MAX(IF(table_s3_events!$E$2:$E$36=$A$4, table_s3_events!$J$2:$J$36))</f>
        <v>500000000</v>
      </c>
    </row>
    <row r="6" spans="1:5" x14ac:dyDescent="0.35">
      <c r="A6" s="4" t="s">
        <v>50</v>
      </c>
      <c r="B6" s="4" t="s">
        <v>552</v>
      </c>
      <c r="C6" s="21" cm="1">
        <f t="array" ref="C6">MIN(IF(table_s3_events!$E$2:$E$36=$A$4, table_s3_events!$H$2:$H$36))</f>
        <v>1000000</v>
      </c>
      <c r="D6" s="21" cm="1">
        <f t="array" ref="D6">MIN(IF(table_s3_events!$E$2:$E$36=$A$4, table_s3_events!$I$2:$I$36))</f>
        <v>40000000</v>
      </c>
      <c r="E6" s="21" cm="1">
        <f t="array" ref="E6">MIN(IF(table_s3_events!$E$2:$E$36=$A$4, table_s3_events!$J$2:$J$36))</f>
        <v>40000000</v>
      </c>
    </row>
    <row r="7" spans="1:5" x14ac:dyDescent="0.35">
      <c r="A7" s="50" t="s">
        <v>50</v>
      </c>
      <c r="B7" s="50" t="s">
        <v>8</v>
      </c>
      <c r="C7" s="51" cm="1">
        <f t="array" ref="C7">COUNT(IF(table_s3_events!$E$2:$E$36=$A$7, table_s3_events!$H$2:$H$36))</f>
        <v>5</v>
      </c>
      <c r="D7" s="51" cm="1">
        <f t="array" ref="D7">COUNT(IF(table_s3_events!$E$2:$E$36=$A$7, table_s3_events!$I$2:$I$36))</f>
        <v>5</v>
      </c>
      <c r="E7" s="51" cm="1">
        <f t="array" ref="E7">COUNT(IF(table_s3_events!$E$2:$E$36=$A$7, table_s3_events!$J$2:$J$36))</f>
        <v>5</v>
      </c>
    </row>
    <row r="8" spans="1:5" x14ac:dyDescent="0.35">
      <c r="A8" s="4" t="s">
        <v>49</v>
      </c>
      <c r="B8" s="4" t="s">
        <v>507</v>
      </c>
      <c r="C8" s="21">
        <f>AVERAGEIF(table_s3_events!$E$2:$E$36, $A$8, table_s3_events!H2:H36)</f>
        <v>206600.00000000402</v>
      </c>
      <c r="D8" s="21">
        <f>AVERAGEIF(table_s3_events!$E$2:$E$36, $A$8, table_s3_events!I2:I36)</f>
        <v>1715640</v>
      </c>
      <c r="E8" s="21">
        <f>AVERAGEIF(table_s3_events!$E$2:$E$36, $A$8, table_s3_events!J2:J36)</f>
        <v>795401.2</v>
      </c>
    </row>
    <row r="9" spans="1:5" x14ac:dyDescent="0.35">
      <c r="A9" s="4" t="s">
        <v>49</v>
      </c>
      <c r="B9" s="4" t="s">
        <v>508</v>
      </c>
      <c r="C9" s="21" cm="1">
        <f t="array" ref="C9">MEDIAN(IF(table_s3_events!$E$2:$E$36 = $A$9, table_s3_events!$J$2:$J$36))</f>
        <v>500000</v>
      </c>
      <c r="D9" s="21" cm="1">
        <f t="array" ref="D9">MEDIAN(IF(table_s3_events!$E$2:$E$36 = $A$9, table_s3_events!$J$2:$J$36))</f>
        <v>500000</v>
      </c>
      <c r="E9" s="21" cm="1">
        <f t="array" ref="E9">MEDIAN(IF(table_s3_events!$E$2:$E$36 = $A$9, table_s3_events!$J$2:$J$36))</f>
        <v>500000</v>
      </c>
    </row>
    <row r="10" spans="1:5" x14ac:dyDescent="0.35">
      <c r="A10" s="4" t="s">
        <v>49</v>
      </c>
      <c r="B10" s="4" t="s">
        <v>511</v>
      </c>
      <c r="C10" s="21" cm="1">
        <f t="array" ref="C10">_xlfn.STDEV.P(IF(table_s3_events!$E$2:$E$36=$A$10, table_s3_events!H2:H36))</f>
        <v>373838.78878468234</v>
      </c>
      <c r="D10" s="21" cm="1">
        <f t="array" ref="D10">_xlfn.STDEV.P(IF(table_s3_events!$E$2:$E$36=$A$10, table_s3_events!I2:I36))</f>
        <v>1579114.5083242063</v>
      </c>
      <c r="E10" s="21" cm="1">
        <f t="array" ref="E10">_xlfn.STDEV.P(IF(table_s3_events!$E$2:$E$36=$A$10, table_s3_events!J2:J36))</f>
        <v>882153.00887916272</v>
      </c>
    </row>
    <row r="11" spans="1:5" x14ac:dyDescent="0.35">
      <c r="A11" s="4" t="s">
        <v>49</v>
      </c>
      <c r="B11" s="4" t="s">
        <v>551</v>
      </c>
      <c r="C11" s="21" cm="1">
        <f t="array" ref="C11">MAX(IF(table_s3_events!$E$2:$E$36=$A$11, table_s3_events!$H$2:$H$36))</f>
        <v>1600000</v>
      </c>
      <c r="D11" s="21" cm="1">
        <f t="array" ref="D11">MAX(IF(table_s3_events!$E$2:$E$36=$A$11, table_s3_events!$I$2:$I$36))</f>
        <v>7000000</v>
      </c>
      <c r="E11" s="21" cm="1">
        <f t="array" ref="E11">MAX(IF(table_s3_events!$E$2:$E$36=$A$11, table_s3_events!$J$2:$J$36))</f>
        <v>4000000</v>
      </c>
    </row>
    <row r="12" spans="1:5" x14ac:dyDescent="0.35">
      <c r="A12" s="4" t="s">
        <v>49</v>
      </c>
      <c r="B12" s="4" t="s">
        <v>552</v>
      </c>
      <c r="C12" s="21" cm="1">
        <f t="array" ref="C12">MIN(IF(table_s3_events!$E$2:$E$36=$A$12, table_s3_events!$H$2:$H$36))</f>
        <v>9.9999999999999995E-8</v>
      </c>
      <c r="D12" s="21" cm="1">
        <f t="array" ref="D12">MIN(IF(table_s3_events!$E$2:$E$36=$A$12, table_s3_events!$I$2:$I$36))</f>
        <v>185000</v>
      </c>
      <c r="E12" s="21" cm="1">
        <f t="array" ref="E12">MIN(IF(table_s3_events!$E$2:$E$36=$A$12, table_s3_events!$J$2:$J$36))</f>
        <v>30</v>
      </c>
    </row>
    <row r="13" spans="1:5" x14ac:dyDescent="0.35">
      <c r="A13" s="50" t="s">
        <v>49</v>
      </c>
      <c r="B13" s="50" t="s">
        <v>8</v>
      </c>
      <c r="C13" s="51" cm="1">
        <f t="array" ref="C13">COUNT(IF(table_s3_events!$E$2:$E$36=$A$13, table_s3_events!$H$2:$H$36))</f>
        <v>25</v>
      </c>
      <c r="D13" s="51" cm="1">
        <f t="array" ref="D13">COUNT(IF(table_s3_events!$E$2:$E$36=$A$13, table_s3_events!$I$2:$I$36))</f>
        <v>25</v>
      </c>
      <c r="E13" s="51" cm="1">
        <f t="array" ref="E13">COUNT(IF(table_s3_events!$E$2:$E$36=$A$13, table_s3_events!$J$2:$J$36))</f>
        <v>25</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492E0-B1D4-4D01-BDC9-52F30A59C1EC}">
  <dimension ref="A1:Y105"/>
  <sheetViews>
    <sheetView zoomScale="80" zoomScaleNormal="80" workbookViewId="0">
      <pane ySplit="1" topLeftCell="A2" activePane="bottomLeft" state="frozen"/>
      <selection pane="bottomLeft"/>
    </sheetView>
  </sheetViews>
  <sheetFormatPr defaultRowHeight="14.5" x14ac:dyDescent="0.35"/>
  <cols>
    <col min="1" max="1" width="35.6328125" style="12" customWidth="1"/>
    <col min="2" max="2" width="21.81640625" style="12" bestFit="1" customWidth="1"/>
    <col min="3" max="3" width="13.26953125" style="12" customWidth="1"/>
    <col min="4" max="4" width="26.90625" style="12" customWidth="1"/>
    <col min="5" max="5" width="14" style="12" bestFit="1" customWidth="1"/>
    <col min="6" max="6" width="22.7265625" style="12" customWidth="1"/>
    <col min="7" max="7" width="15.81640625" style="12" bestFit="1" customWidth="1"/>
    <col min="8" max="8" width="15" style="12" bestFit="1" customWidth="1"/>
    <col min="9" max="9" width="22.90625" style="17" bestFit="1" customWidth="1"/>
    <col min="10" max="10" width="22.90625" style="20" customWidth="1"/>
    <col min="11" max="11" width="15" style="18" customWidth="1"/>
    <col min="12" max="12" width="30.08984375" style="12" customWidth="1"/>
    <col min="13" max="13" width="13.26953125" style="12" customWidth="1"/>
    <col min="14" max="14" width="19.90625" style="12" bestFit="1" customWidth="1"/>
    <col min="15" max="15" width="11.453125" style="12" bestFit="1" customWidth="1"/>
    <col min="16" max="17" width="8.7265625" style="12"/>
    <col min="18" max="18" width="14.54296875" style="12" bestFit="1" customWidth="1"/>
    <col min="19" max="19" width="16.6328125" style="12" customWidth="1"/>
    <col min="20" max="16384" width="8.7265625" style="12"/>
  </cols>
  <sheetData>
    <row r="1" spans="1:16" s="13" customFormat="1" x14ac:dyDescent="0.35">
      <c r="A1" s="13" t="s">
        <v>221</v>
      </c>
      <c r="B1" s="13" t="s">
        <v>53</v>
      </c>
      <c r="C1" s="13" t="s">
        <v>43</v>
      </c>
      <c r="D1" s="13" t="s">
        <v>195</v>
      </c>
      <c r="E1" s="13" t="s">
        <v>228</v>
      </c>
      <c r="F1" s="13" t="s">
        <v>233</v>
      </c>
      <c r="G1" s="13" t="s">
        <v>229</v>
      </c>
      <c r="H1" s="13" t="s">
        <v>230</v>
      </c>
      <c r="I1" s="14" t="str">
        <f>_xlfn.XLOOKUP(A1, table_s3_events!A:A, table_s3_events!J:J)</f>
        <v>event_duration_est_yr</v>
      </c>
      <c r="J1" s="15" t="s">
        <v>506</v>
      </c>
      <c r="K1" s="15" t="s">
        <v>479</v>
      </c>
      <c r="L1" s="13" t="s">
        <v>214</v>
      </c>
      <c r="N1" s="13" t="s">
        <v>233</v>
      </c>
      <c r="O1" s="13" t="s">
        <v>228</v>
      </c>
      <c r="P1" s="13" t="s">
        <v>451</v>
      </c>
    </row>
    <row r="2" spans="1:16" x14ac:dyDescent="0.35">
      <c r="A2" s="12" t="str">
        <f>_xlfn.XLOOKUP($B2, table_s3_events!$B:$B, table_s3_events!$A:$A)</f>
        <v>2100 persistent - sustainable stewardship</v>
      </c>
      <c r="B2" s="16" t="s">
        <v>569</v>
      </c>
      <c r="C2" s="12" t="str">
        <f>_xlfn.XLOOKUP($B2, table_s3_events!$B:$B, table_s3_events!$E:$E)</f>
        <v>sustainable stewardship</v>
      </c>
      <c r="D2" s="12" t="s">
        <v>458</v>
      </c>
      <c r="E2" s="12" t="s">
        <v>231</v>
      </c>
      <c r="F2" s="12" t="s">
        <v>215</v>
      </c>
      <c r="G2" s="12" t="s">
        <v>232</v>
      </c>
      <c r="H2" s="12">
        <v>0</v>
      </c>
      <c r="I2" s="17">
        <f>_xlfn.XLOOKUP(A2, table_s3_events!A:A, table_s3_events!J:J)</f>
        <v>300</v>
      </c>
      <c r="J2" s="20">
        <f>IF(OR(E2="species", E2="genus"), (H2*10^4)/I2,"NA")</f>
        <v>0</v>
      </c>
      <c r="K2" s="18">
        <f t="shared" ref="K2:K34" si="0">IF(G2="percent", H2/(I2/10^6), "NA")</f>
        <v>0</v>
      </c>
      <c r="L2" s="12" t="s">
        <v>459</v>
      </c>
      <c r="N2" s="12" t="s">
        <v>197</v>
      </c>
      <c r="O2" s="12" t="s">
        <v>231</v>
      </c>
      <c r="P2" s="12" t="s">
        <v>452</v>
      </c>
    </row>
    <row r="3" spans="1:16" x14ac:dyDescent="0.35">
      <c r="A3" s="12" t="str">
        <f>_xlfn.XLOOKUP($B3, table_s3_events!$B:$B, table_s3_events!$A:$A)</f>
        <v>2100 persistent - sustainable stewardship</v>
      </c>
      <c r="B3" s="12" t="s">
        <v>569</v>
      </c>
      <c r="C3" s="12" t="str">
        <f>_xlfn.XLOOKUP($B3, table_s3_events!$B:$B, table_s3_events!$E:$E)</f>
        <v>sustainable stewardship</v>
      </c>
      <c r="D3" s="16" t="s">
        <v>458</v>
      </c>
      <c r="E3" s="12" t="s">
        <v>240</v>
      </c>
      <c r="F3" s="12" t="s">
        <v>215</v>
      </c>
      <c r="G3" s="12" t="s">
        <v>232</v>
      </c>
      <c r="H3" s="12">
        <v>0</v>
      </c>
      <c r="I3" s="17">
        <f>_xlfn.XLOOKUP(A3, table_s3_events!A:A, table_s3_events!J:J)</f>
        <v>300</v>
      </c>
      <c r="J3" s="20">
        <f t="shared" ref="J3:J34" si="1">IF(OR(E3="species", E3="genus"), (H3*10^4)/I3,"NA")</f>
        <v>0</v>
      </c>
      <c r="K3" s="18">
        <f t="shared" si="0"/>
        <v>0</v>
      </c>
      <c r="L3" s="12" t="s">
        <v>459</v>
      </c>
      <c r="N3" s="12" t="s">
        <v>215</v>
      </c>
      <c r="O3" s="12" t="s">
        <v>240</v>
      </c>
      <c r="P3" s="12" t="s">
        <v>453</v>
      </c>
    </row>
    <row r="4" spans="1:16" x14ac:dyDescent="0.35">
      <c r="A4" s="12" t="str">
        <f>_xlfn.XLOOKUP($B4, table_s3_events!$B:$B, table_s3_events!$A:$A)</f>
        <v>3100 persistent - sustainable stewardship</v>
      </c>
      <c r="B4" s="12" t="s">
        <v>570</v>
      </c>
      <c r="C4" s="12" t="str">
        <f>_xlfn.XLOOKUP($B4, table_s3_events!$B:$B, table_s3_events!$E:$E)</f>
        <v>sustainable stewardship</v>
      </c>
      <c r="D4" s="16" t="s">
        <v>315</v>
      </c>
      <c r="E4" s="12" t="s">
        <v>240</v>
      </c>
      <c r="F4" s="12" t="s">
        <v>215</v>
      </c>
      <c r="G4" s="12" t="s">
        <v>232</v>
      </c>
      <c r="H4" s="12">
        <v>2</v>
      </c>
      <c r="I4" s="17">
        <f>_xlfn.XLOOKUP(A4, table_s3_events!A:A, table_s3_events!J:J)</f>
        <v>3300</v>
      </c>
      <c r="J4" s="20">
        <f t="shared" si="1"/>
        <v>6.0606060606060606</v>
      </c>
      <c r="K4" s="18">
        <f t="shared" si="0"/>
        <v>606.06060606060612</v>
      </c>
      <c r="L4" s="12" t="s">
        <v>505</v>
      </c>
      <c r="N4" s="12" t="s">
        <v>220</v>
      </c>
      <c r="O4" s="12" t="s">
        <v>231</v>
      </c>
      <c r="P4" s="12" t="s">
        <v>452</v>
      </c>
    </row>
    <row r="5" spans="1:16" x14ac:dyDescent="0.35">
      <c r="A5" s="12" t="str">
        <f>_xlfn.XLOOKUP($B5, table_s3_events!$B:$B, table_s3_events!$A:$A)</f>
        <v>3100 persistent - sustainable stewardship</v>
      </c>
      <c r="B5" s="16" t="s">
        <v>570</v>
      </c>
      <c r="C5" s="12" t="str">
        <f>_xlfn.XLOOKUP($B5, table_s3_events!$B:$B, table_s3_events!$E:$E)</f>
        <v>sustainable stewardship</v>
      </c>
      <c r="D5" s="12" t="s">
        <v>315</v>
      </c>
      <c r="E5" s="12" t="s">
        <v>231</v>
      </c>
      <c r="F5" s="12" t="s">
        <v>215</v>
      </c>
      <c r="G5" s="12" t="s">
        <v>232</v>
      </c>
      <c r="H5" s="12">
        <v>5</v>
      </c>
      <c r="I5" s="17">
        <f>_xlfn.XLOOKUP(A5, table_s3_events!A:A, table_s3_events!J:J)</f>
        <v>3300</v>
      </c>
      <c r="J5" s="20">
        <f t="shared" si="1"/>
        <v>15.151515151515152</v>
      </c>
      <c r="K5" s="18">
        <f t="shared" si="0"/>
        <v>1515.1515151515152</v>
      </c>
      <c r="L5" s="12" t="s">
        <v>505</v>
      </c>
      <c r="N5" s="12" t="s">
        <v>236</v>
      </c>
      <c r="O5" s="12" t="s">
        <v>240</v>
      </c>
      <c r="P5" s="12" t="s">
        <v>453</v>
      </c>
    </row>
    <row r="6" spans="1:16" x14ac:dyDescent="0.35">
      <c r="A6" s="12" t="str">
        <f>_xlfn.XLOOKUP($B6, table_s3_events!$B:$B, table_s3_events!$A:$A)</f>
        <v>2100 transient - business as usual</v>
      </c>
      <c r="B6" s="16" t="s">
        <v>463</v>
      </c>
      <c r="C6" s="12" t="str">
        <f>_xlfn.XLOOKUP($B6, table_s3_events!$B:$B, table_s3_events!$E:$E)</f>
        <v>business as usual</v>
      </c>
      <c r="D6" s="12" t="s">
        <v>213</v>
      </c>
      <c r="E6" s="12" t="s">
        <v>231</v>
      </c>
      <c r="F6" s="12" t="s">
        <v>220</v>
      </c>
      <c r="G6" s="12" t="s">
        <v>232</v>
      </c>
      <c r="H6" s="12">
        <v>-32</v>
      </c>
      <c r="I6" s="17">
        <f>_xlfn.XLOOKUP(A6, table_s3_events!A:A, table_s3_events!J:J)</f>
        <v>300</v>
      </c>
      <c r="J6" s="20">
        <f t="shared" si="1"/>
        <v>-1066.6666666666667</v>
      </c>
      <c r="K6" s="18">
        <f t="shared" si="0"/>
        <v>-106666.66666666667</v>
      </c>
      <c r="N6" s="12" t="s">
        <v>237</v>
      </c>
      <c r="O6" s="12" t="s">
        <v>297</v>
      </c>
      <c r="P6" s="12" t="s">
        <v>454</v>
      </c>
    </row>
    <row r="7" spans="1:16" x14ac:dyDescent="0.35">
      <c r="A7" s="12" t="str">
        <f>_xlfn.XLOOKUP($B7, table_s3_events!$B:$B, table_s3_events!$A:$A)</f>
        <v>2100 transient - business as usual</v>
      </c>
      <c r="B7" s="12" t="s">
        <v>463</v>
      </c>
      <c r="C7" s="12" t="str">
        <f>_xlfn.XLOOKUP($B7, table_s3_events!$B:$B, table_s3_events!$E:$E)</f>
        <v>business as usual</v>
      </c>
      <c r="D7" s="16" t="s">
        <v>470</v>
      </c>
      <c r="E7" s="12" t="s">
        <v>231</v>
      </c>
      <c r="F7" s="12" t="s">
        <v>239</v>
      </c>
      <c r="G7" s="12" t="s">
        <v>232</v>
      </c>
      <c r="H7" s="12">
        <v>-27</v>
      </c>
      <c r="I7" s="17">
        <f>_xlfn.XLOOKUP(A7, table_s3_events!A:A, table_s3_events!J:J)</f>
        <v>300</v>
      </c>
      <c r="J7" s="20">
        <f t="shared" si="1"/>
        <v>-900</v>
      </c>
      <c r="K7" s="18">
        <f t="shared" si="0"/>
        <v>-90000.000000000015</v>
      </c>
      <c r="L7" s="12" t="s">
        <v>473</v>
      </c>
      <c r="N7" s="12" t="s">
        <v>238</v>
      </c>
      <c r="O7" s="12" t="s">
        <v>443</v>
      </c>
      <c r="P7" s="12" t="s">
        <v>455</v>
      </c>
    </row>
    <row r="8" spans="1:16" x14ac:dyDescent="0.35">
      <c r="A8" s="12" t="str">
        <f>_xlfn.XLOOKUP($B8, table_s3_events!$B:$B, table_s3_events!$A:$A)</f>
        <v>2100 transient - business as usual</v>
      </c>
      <c r="B8" s="12" t="s">
        <v>463</v>
      </c>
      <c r="C8" s="12" t="str">
        <f>_xlfn.XLOOKUP($B8, table_s3_events!$B:$B, table_s3_events!$E:$E)</f>
        <v>business as usual</v>
      </c>
      <c r="D8" s="16" t="s">
        <v>470</v>
      </c>
      <c r="E8" s="12" t="s">
        <v>231</v>
      </c>
      <c r="F8" s="12" t="s">
        <v>239</v>
      </c>
      <c r="G8" s="12" t="s">
        <v>232</v>
      </c>
      <c r="H8" s="12">
        <v>-17.600000000000001</v>
      </c>
      <c r="I8" s="17">
        <f>_xlfn.XLOOKUP(A8, table_s3_events!A:A, table_s3_events!J:J)</f>
        <v>300</v>
      </c>
      <c r="J8" s="20">
        <f t="shared" si="1"/>
        <v>-586.66666666666663</v>
      </c>
      <c r="K8" s="18">
        <f t="shared" si="0"/>
        <v>-58666.666666666679</v>
      </c>
      <c r="L8" s="12" t="s">
        <v>471</v>
      </c>
      <c r="N8" s="12" t="s">
        <v>239</v>
      </c>
    </row>
    <row r="9" spans="1:16" x14ac:dyDescent="0.35">
      <c r="A9" s="12" t="str">
        <f>_xlfn.XLOOKUP($B9, table_s3_events!$B:$B, table_s3_events!$A:$A)</f>
        <v>2100 transient - business as usual</v>
      </c>
      <c r="B9" s="16" t="s">
        <v>463</v>
      </c>
      <c r="C9" s="12" t="str">
        <f>_xlfn.XLOOKUP($B9, table_s3_events!$B:$B, table_s3_events!$E:$E)</f>
        <v>business as usual</v>
      </c>
      <c r="D9" s="12" t="s">
        <v>213</v>
      </c>
      <c r="E9" s="12" t="s">
        <v>231</v>
      </c>
      <c r="F9" s="12" t="s">
        <v>220</v>
      </c>
      <c r="G9" s="12" t="s">
        <v>232</v>
      </c>
      <c r="H9" s="12">
        <v>-14</v>
      </c>
      <c r="I9" s="17">
        <f>_xlfn.XLOOKUP(A9, table_s3_events!A:A, table_s3_events!J:J)</f>
        <v>300</v>
      </c>
      <c r="J9" s="20">
        <f t="shared" si="1"/>
        <v>-466.66666666666669</v>
      </c>
      <c r="K9" s="18">
        <f t="shared" si="0"/>
        <v>-46666.666666666672</v>
      </c>
      <c r="N9" s="12" t="s">
        <v>314</v>
      </c>
    </row>
    <row r="10" spans="1:16" x14ac:dyDescent="0.35">
      <c r="A10" s="12" t="str">
        <f>_xlfn.XLOOKUP($B10, table_s3_events!$B:$B, table_s3_events!$A:$A)</f>
        <v>2100 transient - business as usual</v>
      </c>
      <c r="B10" s="12" t="s">
        <v>463</v>
      </c>
      <c r="C10" s="12" t="str">
        <f>_xlfn.XLOOKUP($B10, table_s3_events!$B:$B, table_s3_events!$E:$E)</f>
        <v>business as usual</v>
      </c>
      <c r="D10" s="16" t="s">
        <v>470</v>
      </c>
      <c r="E10" s="12" t="s">
        <v>231</v>
      </c>
      <c r="F10" s="12" t="s">
        <v>239</v>
      </c>
      <c r="G10" s="12" t="s">
        <v>232</v>
      </c>
      <c r="H10" s="12">
        <v>-13</v>
      </c>
      <c r="I10" s="17">
        <f>_xlfn.XLOOKUP(A10, table_s3_events!A:A, table_s3_events!J:J)</f>
        <v>300</v>
      </c>
      <c r="J10" s="20">
        <f t="shared" si="1"/>
        <v>-433.33333333333331</v>
      </c>
      <c r="K10" s="18">
        <f t="shared" si="0"/>
        <v>-43333.333333333336</v>
      </c>
      <c r="L10" s="12" t="s">
        <v>472</v>
      </c>
      <c r="N10" s="12" t="s">
        <v>234</v>
      </c>
    </row>
    <row r="11" spans="1:16" x14ac:dyDescent="0.35">
      <c r="A11" s="12" t="str">
        <f>_xlfn.XLOOKUP($B11, table_s3_events!$B:$B, table_s3_events!$A:$A)</f>
        <v>2100 transient - business as usual</v>
      </c>
      <c r="B11" s="12" t="s">
        <v>463</v>
      </c>
      <c r="C11" s="12" t="str">
        <f>_xlfn.XLOOKUP($B11, table_s3_events!$B:$B, table_s3_events!$E:$E)</f>
        <v>business as usual</v>
      </c>
      <c r="D11" s="16" t="s">
        <v>499</v>
      </c>
      <c r="E11" s="12" t="s">
        <v>240</v>
      </c>
      <c r="F11" s="12" t="s">
        <v>314</v>
      </c>
      <c r="G11" s="12" t="s">
        <v>232</v>
      </c>
      <c r="H11" s="12">
        <v>-7.8</v>
      </c>
      <c r="I11" s="17">
        <f>_xlfn.XLOOKUP(A11, table_s3_events!A:A, table_s3_events!J:J)</f>
        <v>300</v>
      </c>
      <c r="J11" s="20">
        <f t="shared" si="1"/>
        <v>-260</v>
      </c>
      <c r="K11" s="18">
        <f t="shared" si="0"/>
        <v>-26000</v>
      </c>
      <c r="L11" s="12" t="s">
        <v>502</v>
      </c>
      <c r="N11" s="12" t="s">
        <v>235</v>
      </c>
    </row>
    <row r="12" spans="1:16" x14ac:dyDescent="0.35">
      <c r="A12" s="12" t="str">
        <f>_xlfn.XLOOKUP($B12, table_s3_events!$B:$B, table_s3_events!$A:$A)</f>
        <v>2100 transient - business as usual</v>
      </c>
      <c r="B12" s="12" t="s">
        <v>463</v>
      </c>
      <c r="C12" s="12" t="str">
        <f>_xlfn.XLOOKUP($B12, table_s3_events!$B:$B, table_s3_events!$E:$E)</f>
        <v>business as usual</v>
      </c>
      <c r="D12" s="16" t="s">
        <v>458</v>
      </c>
      <c r="E12" s="12" t="s">
        <v>231</v>
      </c>
      <c r="F12" s="12" t="s">
        <v>215</v>
      </c>
      <c r="G12" s="12" t="s">
        <v>232</v>
      </c>
      <c r="H12" s="12">
        <v>-3.8</v>
      </c>
      <c r="I12" s="17">
        <f>_xlfn.XLOOKUP(A12, table_s3_events!A:A, table_s3_events!J:J)</f>
        <v>300</v>
      </c>
      <c r="J12" s="20">
        <f t="shared" ref="J12" si="2">IF(OR(E12="species", E12="genus"), (H12*10^4)/I12,"NA")</f>
        <v>-126.66666666666667</v>
      </c>
      <c r="K12" s="18">
        <f t="shared" ref="K12" si="3">IF(G12="percent", H12/(I12/10^6), "NA")</f>
        <v>-12666.666666666668</v>
      </c>
      <c r="L12" s="12" t="s">
        <v>525</v>
      </c>
      <c r="N12" s="12" t="s">
        <v>202</v>
      </c>
    </row>
    <row r="13" spans="1:16" x14ac:dyDescent="0.35">
      <c r="A13" s="12" t="str">
        <f>_xlfn.XLOOKUP($B13, table_s3_events!$B:$B, table_s3_events!$A:$A)</f>
        <v>3100 transient - business as usual</v>
      </c>
      <c r="B13" s="12" t="s">
        <v>464</v>
      </c>
      <c r="C13" s="12" t="str">
        <f>_xlfn.XLOOKUP($B13, table_s3_events!$B:$B, table_s3_events!$E:$E)</f>
        <v>business as usual</v>
      </c>
      <c r="D13" s="16" t="s">
        <v>549</v>
      </c>
      <c r="E13" s="12" t="s">
        <v>231</v>
      </c>
      <c r="F13" s="12" t="s">
        <v>215</v>
      </c>
      <c r="G13" s="12" t="s">
        <v>232</v>
      </c>
      <c r="H13" s="12">
        <v>-28</v>
      </c>
      <c r="I13" s="17">
        <f>_xlfn.XLOOKUP(A13, table_s3_events!A:A, table_s3_events!J:J)</f>
        <v>3300</v>
      </c>
      <c r="J13" s="20">
        <f t="shared" ref="J13" si="4">IF(OR(E13="species", E13="genus"), (H13*10^4)/I13,"NA")</f>
        <v>-84.848484848484844</v>
      </c>
      <c r="K13" s="18">
        <f t="shared" ref="K13" si="5">IF(G13="percent", H13/(I13/10^6), "NA")</f>
        <v>-8484.8484848484841</v>
      </c>
      <c r="L13" s="12" t="s">
        <v>550</v>
      </c>
      <c r="N13" s="12" t="s">
        <v>268</v>
      </c>
    </row>
    <row r="14" spans="1:16" x14ac:dyDescent="0.35">
      <c r="A14" s="12" t="str">
        <f>_xlfn.XLOOKUP($B14, table_s3_events!$B:$B, table_s3_events!$A:$A)</f>
        <v>3100 transient - business as usual</v>
      </c>
      <c r="B14" s="16" t="s">
        <v>464</v>
      </c>
      <c r="C14" s="12" t="str">
        <f>_xlfn.XLOOKUP($B14, table_s3_events!$B:$B, table_s3_events!$E:$E)</f>
        <v>business as usual</v>
      </c>
      <c r="D14" s="12" t="s">
        <v>315</v>
      </c>
      <c r="E14" s="12" t="s">
        <v>231</v>
      </c>
      <c r="F14" s="12" t="s">
        <v>215</v>
      </c>
      <c r="G14" s="12" t="s">
        <v>232</v>
      </c>
      <c r="H14" s="12">
        <v>-10</v>
      </c>
      <c r="I14" s="17">
        <f>_xlfn.XLOOKUP(A14, table_s3_events!A:A, table_s3_events!J:J)</f>
        <v>3300</v>
      </c>
      <c r="J14" s="20">
        <f t="shared" si="1"/>
        <v>-30.303030303030305</v>
      </c>
      <c r="K14" s="18">
        <f t="shared" si="0"/>
        <v>-3030.3030303030305</v>
      </c>
      <c r="L14" s="12" t="s">
        <v>565</v>
      </c>
      <c r="N14" s="12" t="s">
        <v>298</v>
      </c>
    </row>
    <row r="15" spans="1:16" x14ac:dyDescent="0.35">
      <c r="A15" s="12" t="str">
        <f>_xlfn.XLOOKUP($B15, table_s3_events!$B:$B, table_s3_events!$A:$A)</f>
        <v>3100 transient - business as usual</v>
      </c>
      <c r="B15" s="16" t="s">
        <v>464</v>
      </c>
      <c r="C15" s="12" t="str">
        <f>_xlfn.XLOOKUP($B15, table_s3_events!$B:$B, table_s3_events!$E:$E)</f>
        <v>business as usual</v>
      </c>
      <c r="D15" s="12" t="s">
        <v>315</v>
      </c>
      <c r="E15" s="12" t="s">
        <v>240</v>
      </c>
      <c r="F15" s="12" t="s">
        <v>215</v>
      </c>
      <c r="G15" s="12" t="s">
        <v>232</v>
      </c>
      <c r="H15" s="12">
        <v>-5</v>
      </c>
      <c r="I15" s="17">
        <f>_xlfn.XLOOKUP(A15, table_s3_events!A:A, table_s3_events!J:J)</f>
        <v>3300</v>
      </c>
      <c r="J15" s="20">
        <f t="shared" si="1"/>
        <v>-15.151515151515152</v>
      </c>
      <c r="K15" s="18">
        <f t="shared" si="0"/>
        <v>-1515.1515151515152</v>
      </c>
      <c r="L15" s="12" t="s">
        <v>566</v>
      </c>
      <c r="N15" s="12" t="s">
        <v>306</v>
      </c>
    </row>
    <row r="16" spans="1:16" x14ac:dyDescent="0.35">
      <c r="A16" s="12" t="str">
        <f>_xlfn.XLOOKUP($B16, table_s3_events!$B:$B, table_s3_events!$A:$A)</f>
        <v>Recent past</v>
      </c>
      <c r="B16" s="12" t="s">
        <v>397</v>
      </c>
      <c r="C16" s="12" t="str">
        <f>_xlfn.XLOOKUP($B16, table_s3_events!$B:$B, table_s3_events!$E:$E)</f>
        <v>humans so far</v>
      </c>
      <c r="D16" s="16" t="s">
        <v>434</v>
      </c>
      <c r="E16" s="12" t="s">
        <v>297</v>
      </c>
      <c r="F16" s="12" t="s">
        <v>202</v>
      </c>
      <c r="G16" s="12" t="s">
        <v>232</v>
      </c>
      <c r="H16" s="12">
        <v>-83</v>
      </c>
      <c r="I16" s="17">
        <f>_xlfn.XLOOKUP(A16, table_s3_events!A:A, table_s3_events!J:J)</f>
        <v>200</v>
      </c>
      <c r="J16" s="20" t="str">
        <f t="shared" si="1"/>
        <v>NA</v>
      </c>
      <c r="K16" s="18">
        <f t="shared" si="0"/>
        <v>-415000</v>
      </c>
      <c r="L16" s="12" t="s">
        <v>442</v>
      </c>
      <c r="N16" s="12" t="s">
        <v>305</v>
      </c>
    </row>
    <row r="17" spans="1:14" x14ac:dyDescent="0.35">
      <c r="A17" s="12" t="str">
        <f>_xlfn.XLOOKUP($B17, table_s3_events!$B:$B, table_s3_events!$A:$A)</f>
        <v>Recent past</v>
      </c>
      <c r="B17" s="12" t="s">
        <v>397</v>
      </c>
      <c r="C17" s="12" t="str">
        <f>_xlfn.XLOOKUP($B17, table_s3_events!$B:$B, table_s3_events!$E:$E)</f>
        <v>humans so far</v>
      </c>
      <c r="D17" s="16" t="s">
        <v>434</v>
      </c>
      <c r="E17" s="12" t="s">
        <v>231</v>
      </c>
      <c r="F17" s="12" t="s">
        <v>441</v>
      </c>
      <c r="G17" s="12" t="s">
        <v>232</v>
      </c>
      <c r="H17" s="12">
        <v>-50</v>
      </c>
      <c r="I17" s="17">
        <f>_xlfn.XLOOKUP(A17, table_s3_events!A:A, table_s3_events!J:J)</f>
        <v>200</v>
      </c>
      <c r="J17" s="20">
        <f t="shared" si="1"/>
        <v>-2500</v>
      </c>
      <c r="K17" s="18">
        <f t="shared" si="0"/>
        <v>-250000</v>
      </c>
      <c r="N17" s="12" t="s">
        <v>311</v>
      </c>
    </row>
    <row r="18" spans="1:14" x14ac:dyDescent="0.35">
      <c r="A18" s="12" t="str">
        <f>_xlfn.XLOOKUP($B18, table_s3_events!$B:$B, table_s3_events!$A:$A)</f>
        <v>Recent past</v>
      </c>
      <c r="B18" s="12" t="s">
        <v>397</v>
      </c>
      <c r="C18" s="12" t="str">
        <f>_xlfn.XLOOKUP($B18, table_s3_events!$B:$B, table_s3_events!$E:$E)</f>
        <v>humans so far</v>
      </c>
      <c r="D18" s="16" t="s">
        <v>300</v>
      </c>
      <c r="E18" s="12" t="s">
        <v>297</v>
      </c>
      <c r="F18" s="12" t="s">
        <v>298</v>
      </c>
      <c r="G18" s="12" t="s">
        <v>232</v>
      </c>
      <c r="H18" s="12">
        <v>-30</v>
      </c>
      <c r="I18" s="17">
        <f>_xlfn.XLOOKUP(A18, table_s3_events!A:A, table_s3_events!J:J)</f>
        <v>200</v>
      </c>
      <c r="J18" s="20" t="str">
        <f t="shared" si="1"/>
        <v>NA</v>
      </c>
      <c r="K18" s="18">
        <f t="shared" si="0"/>
        <v>-150000</v>
      </c>
      <c r="L18" s="12" t="s">
        <v>299</v>
      </c>
      <c r="N18" s="12" t="s">
        <v>319</v>
      </c>
    </row>
    <row r="19" spans="1:14" x14ac:dyDescent="0.35">
      <c r="A19" s="12" t="str">
        <f>_xlfn.XLOOKUP($B19, table_s3_events!$B:$B, table_s3_events!$A:$A)</f>
        <v>Recent past</v>
      </c>
      <c r="B19" s="12" t="s">
        <v>397</v>
      </c>
      <c r="C19" s="12" t="str">
        <f>_xlfn.XLOOKUP($B19, table_s3_events!$B:$B, table_s3_events!$E:$E)</f>
        <v>humans so far</v>
      </c>
      <c r="D19" s="16" t="s">
        <v>302</v>
      </c>
      <c r="E19" s="12" t="s">
        <v>240</v>
      </c>
      <c r="F19" s="12" t="s">
        <v>202</v>
      </c>
      <c r="G19" s="12" t="s">
        <v>232</v>
      </c>
      <c r="H19" s="12">
        <v>-1.61</v>
      </c>
      <c r="I19" s="17">
        <f>_xlfn.XLOOKUP(A19, table_s3_events!A:A, table_s3_events!J:J)</f>
        <v>200</v>
      </c>
      <c r="J19" s="20">
        <f>IF(OR(E19="species", E19="genus"), (H19*10^4)/I19,"NA")</f>
        <v>-80.500000000000014</v>
      </c>
      <c r="K19" s="18">
        <f t="shared" si="0"/>
        <v>-8050</v>
      </c>
      <c r="L19" s="12" t="s">
        <v>304</v>
      </c>
      <c r="N19" s="12" t="s">
        <v>441</v>
      </c>
    </row>
    <row r="20" spans="1:14" x14ac:dyDescent="0.35">
      <c r="A20" s="12" t="str">
        <f>_xlfn.XLOOKUP($B20, table_s3_events!$B:$B, table_s3_events!$A:$A)</f>
        <v>Recent past</v>
      </c>
      <c r="B20" s="12" t="s">
        <v>397</v>
      </c>
      <c r="C20" s="12" t="str">
        <f>_xlfn.XLOOKUP($B20, table_s3_events!$B:$B, table_s3_events!$E:$E)</f>
        <v>humans so far</v>
      </c>
      <c r="D20" s="16" t="s">
        <v>302</v>
      </c>
      <c r="E20" s="12" t="s">
        <v>240</v>
      </c>
      <c r="F20" s="12" t="s">
        <v>311</v>
      </c>
      <c r="G20" s="12" t="s">
        <v>232</v>
      </c>
      <c r="H20" s="12">
        <v>-1.54</v>
      </c>
      <c r="I20" s="17">
        <f>_xlfn.XLOOKUP(A20, table_s3_events!A:A, table_s3_events!J:J)</f>
        <v>200</v>
      </c>
      <c r="J20" s="20">
        <f t="shared" si="1"/>
        <v>-77</v>
      </c>
      <c r="K20" s="18">
        <f t="shared" si="0"/>
        <v>-7700</v>
      </c>
      <c r="L20" s="12" t="s">
        <v>304</v>
      </c>
      <c r="N20" s="12" t="s">
        <v>487</v>
      </c>
    </row>
    <row r="21" spans="1:14" x14ac:dyDescent="0.35">
      <c r="A21" s="12" t="str">
        <f>_xlfn.XLOOKUP($B21, table_s3_events!$B:$B, table_s3_events!$A:$A)</f>
        <v>Recent past</v>
      </c>
      <c r="B21" s="12" t="s">
        <v>397</v>
      </c>
      <c r="C21" s="12" t="str">
        <f>_xlfn.XLOOKUP($B21, table_s3_events!$B:$B, table_s3_events!$E:$E)</f>
        <v>humans so far</v>
      </c>
      <c r="D21" s="16" t="s">
        <v>302</v>
      </c>
      <c r="E21" s="12" t="s">
        <v>240</v>
      </c>
      <c r="F21" s="12" t="s">
        <v>215</v>
      </c>
      <c r="G21" s="12" t="s">
        <v>232</v>
      </c>
      <c r="H21" s="12">
        <v>-0.88</v>
      </c>
      <c r="I21" s="17">
        <f>_xlfn.XLOOKUP(A21, table_s3_events!A:A, table_s3_events!J:J)</f>
        <v>200</v>
      </c>
      <c r="J21" s="20">
        <f>IF(OR(E21="species", E21="genus"), (H21*10^4)/I21,"NA")</f>
        <v>-44</v>
      </c>
      <c r="K21" s="18">
        <f t="shared" si="0"/>
        <v>-4400</v>
      </c>
      <c r="L21" s="12" t="s">
        <v>310</v>
      </c>
      <c r="N21" s="12" t="s">
        <v>488</v>
      </c>
    </row>
    <row r="22" spans="1:14" x14ac:dyDescent="0.35">
      <c r="A22" s="12" t="str">
        <f>_xlfn.XLOOKUP($B22, table_s3_events!$B:$B, table_s3_events!$A:$A)</f>
        <v>Recent past</v>
      </c>
      <c r="B22" s="12" t="s">
        <v>397</v>
      </c>
      <c r="C22" s="12" t="str">
        <f>_xlfn.XLOOKUP($B22, table_s3_events!$B:$B, table_s3_events!$E:$E)</f>
        <v>humans so far</v>
      </c>
      <c r="D22" s="16" t="s">
        <v>302</v>
      </c>
      <c r="E22" s="12" t="s">
        <v>240</v>
      </c>
      <c r="F22" s="12" t="s">
        <v>305</v>
      </c>
      <c r="G22" s="12" t="s">
        <v>232</v>
      </c>
      <c r="H22" s="12">
        <v>-0.57999999999999996</v>
      </c>
      <c r="I22" s="17">
        <f>_xlfn.XLOOKUP(A22, table_s3_events!A:A, table_s3_events!J:J)</f>
        <v>200</v>
      </c>
      <c r="J22" s="20">
        <f t="shared" si="1"/>
        <v>-29</v>
      </c>
      <c r="K22" s="18">
        <f t="shared" si="0"/>
        <v>-2899.9999999999995</v>
      </c>
      <c r="L22" s="12" t="s">
        <v>309</v>
      </c>
      <c r="N22" s="12" t="s">
        <v>489</v>
      </c>
    </row>
    <row r="23" spans="1:14" x14ac:dyDescent="0.35">
      <c r="A23" s="12" t="str">
        <f>_xlfn.XLOOKUP($B23, table_s3_events!$B:$B, table_s3_events!$A:$A)</f>
        <v>Recent past</v>
      </c>
      <c r="B23" s="12" t="s">
        <v>397</v>
      </c>
      <c r="C23" s="12" t="str">
        <f>_xlfn.XLOOKUP($B23, table_s3_events!$B:$B, table_s3_events!$E:$E)</f>
        <v>humans so far</v>
      </c>
      <c r="D23" s="12" t="s">
        <v>461</v>
      </c>
      <c r="E23" s="12" t="s">
        <v>231</v>
      </c>
      <c r="F23" s="12" t="s">
        <v>215</v>
      </c>
      <c r="G23" s="12" t="s">
        <v>232</v>
      </c>
      <c r="H23" s="12">
        <v>-0.5</v>
      </c>
      <c r="I23" s="17">
        <f>_xlfn.XLOOKUP(A23, table_s3_events!A:A, table_s3_events!J:J)</f>
        <v>200</v>
      </c>
      <c r="J23" s="20">
        <f t="shared" si="1"/>
        <v>-25</v>
      </c>
      <c r="K23" s="18">
        <f t="shared" si="0"/>
        <v>-2500</v>
      </c>
      <c r="N23" s="12" t="s">
        <v>500</v>
      </c>
    </row>
    <row r="24" spans="1:14" x14ac:dyDescent="0.35">
      <c r="A24" s="12" t="str">
        <f>_xlfn.XLOOKUP($B24, table_s3_events!$B:$B, table_s3_events!$A:$A)</f>
        <v>Recent past</v>
      </c>
      <c r="B24" s="12" t="s">
        <v>397</v>
      </c>
      <c r="C24" s="12" t="str">
        <f>_xlfn.XLOOKUP($B24, table_s3_events!$B:$B, table_s3_events!$E:$E)</f>
        <v>humans so far</v>
      </c>
      <c r="D24" s="16" t="s">
        <v>302</v>
      </c>
      <c r="E24" s="12" t="s">
        <v>240</v>
      </c>
      <c r="F24" s="12" t="s">
        <v>215</v>
      </c>
      <c r="G24" s="12" t="s">
        <v>232</v>
      </c>
      <c r="H24" s="12">
        <v>-0.45</v>
      </c>
      <c r="I24" s="17">
        <f>_xlfn.XLOOKUP(A24, table_s3_events!A:A, table_s3_events!J:J)</f>
        <v>200</v>
      </c>
      <c r="J24" s="20">
        <f t="shared" si="1"/>
        <v>-22.5</v>
      </c>
      <c r="K24" s="18">
        <f t="shared" si="0"/>
        <v>-2250</v>
      </c>
      <c r="L24" s="12" t="s">
        <v>307</v>
      </c>
    </row>
    <row r="25" spans="1:14" x14ac:dyDescent="0.35">
      <c r="A25" s="12" t="str">
        <f>_xlfn.XLOOKUP($B25, table_s3_events!$B:$B, table_s3_events!$A:$A)</f>
        <v>Recent past</v>
      </c>
      <c r="B25" s="12" t="s">
        <v>397</v>
      </c>
      <c r="C25" s="12" t="str">
        <f>_xlfn.XLOOKUP($B25, table_s3_events!$B:$B, table_s3_events!$E:$E)</f>
        <v>humans so far</v>
      </c>
      <c r="D25" s="16" t="s">
        <v>302</v>
      </c>
      <c r="E25" s="12" t="s">
        <v>240</v>
      </c>
      <c r="F25" s="12" t="s">
        <v>306</v>
      </c>
      <c r="G25" s="12" t="s">
        <v>232</v>
      </c>
      <c r="H25" s="12">
        <v>-0.17</v>
      </c>
      <c r="I25" s="17">
        <f>_xlfn.XLOOKUP(A25, table_s3_events!A:A, table_s3_events!J:J)</f>
        <v>200</v>
      </c>
      <c r="J25" s="20">
        <f t="shared" si="1"/>
        <v>-8.5000000000000018</v>
      </c>
      <c r="K25" s="18">
        <f t="shared" si="0"/>
        <v>-850</v>
      </c>
      <c r="L25" s="12" t="s">
        <v>308</v>
      </c>
    </row>
    <row r="26" spans="1:14" x14ac:dyDescent="0.35">
      <c r="A26" s="12" t="str">
        <f>_xlfn.XLOOKUP($B26, table_s3_events!$B:$B, table_s3_events!$A:$A)</f>
        <v>Recent past</v>
      </c>
      <c r="B26" s="12" t="s">
        <v>397</v>
      </c>
      <c r="C26" s="12" t="str">
        <f>_xlfn.XLOOKUP($B26, table_s3_events!$B:$B, table_s3_events!$E:$E)</f>
        <v>humans so far</v>
      </c>
      <c r="D26" s="12" t="s">
        <v>461</v>
      </c>
      <c r="E26" s="12" t="s">
        <v>231</v>
      </c>
      <c r="F26" s="12" t="s">
        <v>215</v>
      </c>
      <c r="G26" s="12" t="s">
        <v>232</v>
      </c>
      <c r="H26" s="12">
        <v>-0.01</v>
      </c>
      <c r="I26" s="17">
        <f>_xlfn.XLOOKUP(A26, table_s3_events!A:A, table_s3_events!J:J)</f>
        <v>200</v>
      </c>
      <c r="J26" s="20">
        <f t="shared" si="1"/>
        <v>-0.5</v>
      </c>
      <c r="K26" s="18">
        <f t="shared" si="0"/>
        <v>-50</v>
      </c>
    </row>
    <row r="27" spans="1:14" x14ac:dyDescent="0.35">
      <c r="A27" s="12" t="str">
        <f>_xlfn.XLOOKUP($B27, table_s3_events!$B:$B, table_s3_events!$A:$A)</f>
        <v>Recent past</v>
      </c>
      <c r="B27" s="12" t="s">
        <v>397</v>
      </c>
      <c r="C27" s="12" t="str">
        <f>_xlfn.XLOOKUP($B27, table_s3_events!$B:$B, table_s3_events!$E:$E)</f>
        <v>humans so far</v>
      </c>
      <c r="D27" s="12" t="s">
        <v>499</v>
      </c>
      <c r="E27" s="12" t="s">
        <v>240</v>
      </c>
      <c r="F27" s="12" t="s">
        <v>500</v>
      </c>
      <c r="G27" s="12" t="s">
        <v>232</v>
      </c>
      <c r="H27" s="12">
        <v>-1</v>
      </c>
      <c r="I27" s="17">
        <f>_xlfn.XLOOKUP(A27, table_s3_events!A:A, table_s3_events!J:J)</f>
        <v>200</v>
      </c>
      <c r="J27" s="20">
        <f t="shared" si="1"/>
        <v>-50</v>
      </c>
      <c r="K27" s="18">
        <f t="shared" si="0"/>
        <v>-5000</v>
      </c>
      <c r="L27" s="12" t="s">
        <v>501</v>
      </c>
    </row>
    <row r="28" spans="1:14" x14ac:dyDescent="0.35">
      <c r="A28" s="12" t="str">
        <f>_xlfn.XLOOKUP($B28, table_s3_events!$B:$B, table_s3_events!$A:$A)</f>
        <v>Angiosperm Revolution</v>
      </c>
      <c r="B28" s="16" t="s">
        <v>412</v>
      </c>
      <c r="C28" s="12" t="str">
        <f>_xlfn.XLOOKUP($B28, table_s3_events!$B:$B, table_s3_events!$E:$E)</f>
        <v>persistent</v>
      </c>
      <c r="D28" s="12" t="s">
        <v>216</v>
      </c>
      <c r="E28" s="12" t="s">
        <v>231</v>
      </c>
      <c r="F28" s="12" t="s">
        <v>215</v>
      </c>
      <c r="G28" s="12" t="s">
        <v>232</v>
      </c>
      <c r="H28" s="12">
        <v>150</v>
      </c>
      <c r="I28" s="17">
        <f>_xlfn.XLOOKUP(A28, table_s3_events!A:A, table_s3_events!J:J)</f>
        <v>75000000</v>
      </c>
      <c r="J28" s="20">
        <f t="shared" si="1"/>
        <v>0.02</v>
      </c>
      <c r="K28" s="18">
        <f t="shared" si="0"/>
        <v>2</v>
      </c>
      <c r="L28" s="12" t="s">
        <v>217</v>
      </c>
    </row>
    <row r="29" spans="1:14" x14ac:dyDescent="0.35">
      <c r="A29" s="12" t="str">
        <f>_xlfn.XLOOKUP($B29, table_s3_events!$B:$B, table_s3_events!$A:$A)</f>
        <v>Angiosperm Revolution</v>
      </c>
      <c r="B29" s="12" t="s">
        <v>412</v>
      </c>
      <c r="C29" s="12" t="str">
        <f>_xlfn.XLOOKUP($B29, table_s3_events!$B:$B, table_s3_events!$E:$E)</f>
        <v>persistent</v>
      </c>
      <c r="D29" s="12" t="s">
        <v>445</v>
      </c>
      <c r="E29" s="12" t="s">
        <v>443</v>
      </c>
      <c r="F29" s="12" t="s">
        <v>215</v>
      </c>
      <c r="G29" s="12" t="s">
        <v>232</v>
      </c>
      <c r="H29" s="12">
        <v>161</v>
      </c>
      <c r="I29" s="17">
        <f>_xlfn.XLOOKUP(A29, table_s3_events!A:A, table_s3_events!J:J)</f>
        <v>75000000</v>
      </c>
      <c r="J29" s="20" t="str">
        <f t="shared" si="1"/>
        <v>NA</v>
      </c>
      <c r="K29" s="18">
        <f t="shared" si="0"/>
        <v>2.1466666666666665</v>
      </c>
      <c r="L29" s="12" t="s">
        <v>450</v>
      </c>
    </row>
    <row r="30" spans="1:14" x14ac:dyDescent="0.35">
      <c r="A30" s="12" t="str">
        <f>_xlfn.XLOOKUP($B30, table_s3_events!$B:$B, table_s3_events!$A:$A)</f>
        <v>Cambrian Agronomic Revolution</v>
      </c>
      <c r="B30" s="12" t="s">
        <v>413</v>
      </c>
      <c r="C30" s="12" t="str">
        <f>_xlfn.XLOOKUP($B30, table_s3_events!$B:$B, table_s3_events!$E:$E)</f>
        <v>persistent</v>
      </c>
      <c r="D30" s="12" t="s">
        <v>445</v>
      </c>
      <c r="E30" s="12" t="s">
        <v>443</v>
      </c>
      <c r="F30" s="12" t="s">
        <v>215</v>
      </c>
      <c r="G30" s="12" t="s">
        <v>232</v>
      </c>
      <c r="H30" s="12">
        <v>243</v>
      </c>
      <c r="I30" s="17">
        <f>_xlfn.XLOOKUP(A30, table_s3_events!A:A, table_s3_events!J:J)</f>
        <v>40000000</v>
      </c>
      <c r="J30" s="20" t="str">
        <f t="shared" si="1"/>
        <v>NA</v>
      </c>
      <c r="K30" s="18">
        <f t="shared" si="0"/>
        <v>6.0750000000000002</v>
      </c>
      <c r="L30" s="12" t="s">
        <v>448</v>
      </c>
    </row>
    <row r="31" spans="1:14" x14ac:dyDescent="0.35">
      <c r="A31" s="12" t="str">
        <f>_xlfn.XLOOKUP($B31, table_s3_events!$B:$B, table_s3_events!$A:$A)</f>
        <v>Cambrian Agronomic Revolution</v>
      </c>
      <c r="B31" s="16" t="s">
        <v>413</v>
      </c>
      <c r="C31" s="12" t="str">
        <f>_xlfn.XLOOKUP($B31, table_s3_events!$B:$B, table_s3_events!$E:$E)</f>
        <v>persistent</v>
      </c>
      <c r="D31" s="12" t="s">
        <v>315</v>
      </c>
      <c r="E31" s="12" t="s">
        <v>231</v>
      </c>
      <c r="F31" s="12" t="s">
        <v>305</v>
      </c>
      <c r="G31" s="12" t="s">
        <v>232</v>
      </c>
      <c r="H31" s="12">
        <v>1000</v>
      </c>
      <c r="I31" s="17">
        <f>_xlfn.XLOOKUP(A31, table_s3_events!A:A, table_s3_events!J:J)</f>
        <v>40000000</v>
      </c>
      <c r="J31" s="20">
        <f t="shared" si="1"/>
        <v>0.25</v>
      </c>
      <c r="K31" s="18">
        <f t="shared" si="0"/>
        <v>25</v>
      </c>
      <c r="L31" s="12" t="s">
        <v>317</v>
      </c>
    </row>
    <row r="32" spans="1:14" x14ac:dyDescent="0.35">
      <c r="A32" s="12" t="str">
        <f>_xlfn.XLOOKUP($B32, table_s3_events!$B:$B, table_s3_events!$A:$A)</f>
        <v>Cambrian Agronomic Revolution</v>
      </c>
      <c r="B32" s="12" t="s">
        <v>413</v>
      </c>
      <c r="C32" s="12" t="str">
        <f>_xlfn.XLOOKUP($B32, table_s3_events!$B:$B, table_s3_events!$E:$E)</f>
        <v>persistent</v>
      </c>
      <c r="D32" s="16" t="s">
        <v>315</v>
      </c>
      <c r="E32" s="12" t="s">
        <v>240</v>
      </c>
      <c r="F32" s="12" t="s">
        <v>305</v>
      </c>
      <c r="G32" s="12" t="s">
        <v>232</v>
      </c>
      <c r="H32" s="12">
        <v>1000</v>
      </c>
      <c r="I32" s="17">
        <f>_xlfn.XLOOKUP(A32, table_s3_events!A:A, table_s3_events!J:J)</f>
        <v>40000000</v>
      </c>
      <c r="J32" s="20">
        <f t="shared" si="1"/>
        <v>0.25</v>
      </c>
      <c r="K32" s="18">
        <f t="shared" si="0"/>
        <v>25</v>
      </c>
      <c r="L32" s="12" t="s">
        <v>318</v>
      </c>
    </row>
    <row r="33" spans="1:12" x14ac:dyDescent="0.35">
      <c r="A33" s="12" t="str">
        <f>_xlfn.XLOOKUP($B33, table_s3_events!$B:$B, table_s3_events!$A:$A)</f>
        <v>Eukaryogenesis</v>
      </c>
      <c r="B33" s="12" t="s">
        <v>414</v>
      </c>
      <c r="C33" s="12" t="str">
        <f>_xlfn.XLOOKUP($B33, table_s3_events!$B:$B, table_s3_events!$E:$E)</f>
        <v>persistent</v>
      </c>
      <c r="D33" s="16" t="s">
        <v>434</v>
      </c>
      <c r="E33" s="12" t="s">
        <v>297</v>
      </c>
      <c r="F33" s="12" t="s">
        <v>215</v>
      </c>
      <c r="G33" s="12" t="s">
        <v>232</v>
      </c>
      <c r="H33" s="12">
        <v>600</v>
      </c>
      <c r="I33" s="17">
        <f>_xlfn.XLOOKUP(A33, table_s3_events!A:A, table_s3_events!J:J)</f>
        <v>100000000</v>
      </c>
      <c r="J33" s="20" t="str">
        <f t="shared" si="1"/>
        <v>NA</v>
      </c>
      <c r="K33" s="18">
        <f t="shared" si="0"/>
        <v>6</v>
      </c>
      <c r="L33" s="12" t="s">
        <v>433</v>
      </c>
    </row>
    <row r="34" spans="1:12" x14ac:dyDescent="0.35">
      <c r="A34" s="12" t="str">
        <f>_xlfn.XLOOKUP($B34, table_s3_events!$B:$B, table_s3_events!$A:$A)</f>
        <v>Great Oxygenation Event</v>
      </c>
      <c r="B34" s="12" t="s">
        <v>51</v>
      </c>
      <c r="C34" s="12" t="str">
        <f>_xlfn.XLOOKUP($B34, table_s3_events!$B:$B, table_s3_events!$E:$E)</f>
        <v>persistent</v>
      </c>
      <c r="D34" s="12" t="s">
        <v>445</v>
      </c>
      <c r="E34" s="12" t="s">
        <v>443</v>
      </c>
      <c r="F34" s="12" t="s">
        <v>215</v>
      </c>
      <c r="G34" s="12" t="s">
        <v>232</v>
      </c>
      <c r="H34" s="12">
        <v>458</v>
      </c>
      <c r="I34" s="17">
        <f>_xlfn.XLOOKUP(A34, table_s3_events!A:A, table_s3_events!J:J)</f>
        <v>500000000</v>
      </c>
      <c r="J34" s="20" t="str">
        <f t="shared" si="1"/>
        <v>NA</v>
      </c>
      <c r="K34" s="18">
        <f t="shared" si="0"/>
        <v>0.91600000000000004</v>
      </c>
      <c r="L34" s="12" t="s">
        <v>447</v>
      </c>
    </row>
    <row r="35" spans="1:12" x14ac:dyDescent="0.35">
      <c r="A35" s="12" t="str">
        <f>_xlfn.XLOOKUP($B35, table_s3_events!$B:$B, table_s3_events!$A:$A)</f>
        <v>Great Oxygenation Event</v>
      </c>
      <c r="B35" s="12" t="s">
        <v>51</v>
      </c>
      <c r="C35" s="12" t="str">
        <f>_xlfn.XLOOKUP($B35, table_s3_events!$B:$B, table_s3_events!$E:$E)</f>
        <v>persistent</v>
      </c>
      <c r="D35" s="12" t="s">
        <v>445</v>
      </c>
      <c r="E35" s="12" t="s">
        <v>443</v>
      </c>
      <c r="F35" s="12" t="s">
        <v>215</v>
      </c>
      <c r="G35" s="12" t="s">
        <v>232</v>
      </c>
      <c r="H35" s="12">
        <v>188000</v>
      </c>
      <c r="I35" s="17">
        <f>_xlfn.XLOOKUP(A35, table_s3_events!A:A, table_s3_events!J:J)</f>
        <v>500000000</v>
      </c>
      <c r="J35" s="20" t="str">
        <f t="shared" ref="J35:J65" si="6">IF(OR(E35="species", E35="genus"), (H35*10^4)/I35,"NA")</f>
        <v>NA</v>
      </c>
      <c r="K35" s="18">
        <f t="shared" ref="K35:K65" si="7">IF(G35="percent", H35/(I35/10^6), "NA")</f>
        <v>376</v>
      </c>
      <c r="L35" s="12" t="s">
        <v>446</v>
      </c>
    </row>
    <row r="36" spans="1:12" x14ac:dyDescent="0.35">
      <c r="A36" s="12" t="str">
        <f>_xlfn.XLOOKUP($B36, table_s3_events!$B:$B, table_s3_events!$A:$A)</f>
        <v>Land plant evolution</v>
      </c>
      <c r="B36" s="16" t="s">
        <v>411</v>
      </c>
      <c r="C36" s="12" t="str">
        <f>_xlfn.XLOOKUP($B36, table_s3_events!$B:$B, table_s3_events!$E:$E)</f>
        <v>persistent</v>
      </c>
      <c r="D36" s="12" t="s">
        <v>477</v>
      </c>
      <c r="E36" s="12" t="s">
        <v>443</v>
      </c>
      <c r="F36" s="12" t="s">
        <v>215</v>
      </c>
      <c r="G36" s="12" t="s">
        <v>232</v>
      </c>
      <c r="H36" s="12">
        <v>35</v>
      </c>
      <c r="I36" s="17">
        <f>_xlfn.XLOOKUP(A36, table_s3_events!A:A, table_s3_events!J:J)</f>
        <v>60000000</v>
      </c>
      <c r="J36" s="20" t="str">
        <f t="shared" si="6"/>
        <v>NA</v>
      </c>
      <c r="K36" s="18">
        <f t="shared" si="7"/>
        <v>0.58333333333333337</v>
      </c>
      <c r="L36" s="12" t="s">
        <v>478</v>
      </c>
    </row>
    <row r="37" spans="1:12" x14ac:dyDescent="0.35">
      <c r="A37" s="12" t="str">
        <f>_xlfn.XLOOKUP($B37, table_s3_events!$B:$B, table_s3_events!$A:$A)</f>
        <v>Land plant evolution</v>
      </c>
      <c r="B37" s="16" t="s">
        <v>411</v>
      </c>
      <c r="C37" s="12" t="str">
        <f>_xlfn.XLOOKUP($B37, table_s3_events!$B:$B, table_s3_events!$E:$E)</f>
        <v>persistent</v>
      </c>
      <c r="D37" s="12" t="s">
        <v>477</v>
      </c>
      <c r="E37" s="12" t="s">
        <v>443</v>
      </c>
      <c r="F37" s="12" t="s">
        <v>215</v>
      </c>
      <c r="G37" s="12" t="s">
        <v>232</v>
      </c>
      <c r="H37" s="12">
        <v>80</v>
      </c>
      <c r="I37" s="17">
        <f>_xlfn.XLOOKUP(A37, table_s3_events!A:A, table_s3_events!J:J)</f>
        <v>60000000</v>
      </c>
      <c r="J37" s="20" t="str">
        <f t="shared" si="6"/>
        <v>NA</v>
      </c>
      <c r="K37" s="18">
        <f t="shared" si="7"/>
        <v>1.3333333333333333</v>
      </c>
      <c r="L37" s="12" t="s">
        <v>478</v>
      </c>
    </row>
    <row r="38" spans="1:12" x14ac:dyDescent="0.35">
      <c r="A38" s="12" t="str">
        <f>_xlfn.XLOOKUP($B38, table_s3_events!$B:$B, table_s3_events!$A:$A)</f>
        <v>Land plant evolution</v>
      </c>
      <c r="B38" s="12" t="s">
        <v>411</v>
      </c>
      <c r="C38" s="12" t="str">
        <f>_xlfn.XLOOKUP($B38, table_s3_events!$B:$B, table_s3_events!$E:$E)</f>
        <v>persistent</v>
      </c>
      <c r="D38" s="12" t="s">
        <v>445</v>
      </c>
      <c r="E38" s="12" t="s">
        <v>443</v>
      </c>
      <c r="F38" s="12" t="s">
        <v>215</v>
      </c>
      <c r="G38" s="12" t="s">
        <v>232</v>
      </c>
      <c r="H38" s="12">
        <v>147</v>
      </c>
      <c r="I38" s="17">
        <f>_xlfn.XLOOKUP(A38, table_s3_events!A:A, table_s3_events!J:J)</f>
        <v>60000000</v>
      </c>
      <c r="J38" s="20" t="str">
        <f t="shared" si="6"/>
        <v>NA</v>
      </c>
      <c r="K38" s="18">
        <f t="shared" si="7"/>
        <v>2.4500000000000002</v>
      </c>
      <c r="L38" s="12" t="s">
        <v>449</v>
      </c>
    </row>
    <row r="39" spans="1:12" x14ac:dyDescent="0.35">
      <c r="A39" s="12" t="str">
        <f>_xlfn.XLOOKUP($B39, table_s3_events!$B:$B, table_s3_events!$A:$A)</f>
        <v>Land plant evolution</v>
      </c>
      <c r="B39" s="12" t="s">
        <v>411</v>
      </c>
      <c r="C39" s="12" t="str">
        <f>_xlfn.XLOOKUP($B39, table_s3_events!$B:$B, table_s3_events!$E:$E)</f>
        <v>persistent</v>
      </c>
      <c r="D39" s="16" t="s">
        <v>434</v>
      </c>
      <c r="E39" s="12" t="s">
        <v>297</v>
      </c>
      <c r="F39" s="12" t="s">
        <v>215</v>
      </c>
      <c r="G39" s="12" t="s">
        <v>232</v>
      </c>
      <c r="H39" s="12">
        <v>900</v>
      </c>
      <c r="I39" s="17">
        <f>_xlfn.XLOOKUP(A39, table_s3_events!A:A, table_s3_events!J:J)</f>
        <v>60000000</v>
      </c>
      <c r="J39" s="20" t="str">
        <f t="shared" si="6"/>
        <v>NA</v>
      </c>
      <c r="K39" s="18">
        <f t="shared" si="7"/>
        <v>15</v>
      </c>
      <c r="L39" s="12" t="s">
        <v>456</v>
      </c>
    </row>
    <row r="40" spans="1:12" x14ac:dyDescent="0.35">
      <c r="A40" s="12" t="str">
        <f>_xlfn.XLOOKUP($B40, table_s3_events!$B:$B, table_s3_events!$A:$A)</f>
        <v>Land plant evolution</v>
      </c>
      <c r="B40" s="12" t="s">
        <v>411</v>
      </c>
      <c r="C40" s="12" t="str">
        <f>_xlfn.XLOOKUP($B40, table_s3_events!$B:$B, table_s3_events!$E:$E)</f>
        <v>persistent</v>
      </c>
      <c r="D40" s="12" t="s">
        <v>465</v>
      </c>
      <c r="E40" s="12" t="s">
        <v>240</v>
      </c>
      <c r="F40" s="12" t="s">
        <v>215</v>
      </c>
      <c r="G40" s="12" t="s">
        <v>232</v>
      </c>
      <c r="H40" s="12">
        <v>12000</v>
      </c>
      <c r="I40" s="17">
        <f>_xlfn.XLOOKUP(A40, table_s3_events!A:A, table_s3_events!J:J)</f>
        <v>60000000</v>
      </c>
      <c r="J40" s="20">
        <f t="shared" si="6"/>
        <v>2</v>
      </c>
      <c r="K40" s="18">
        <f t="shared" si="7"/>
        <v>200</v>
      </c>
      <c r="L40" s="12" t="s">
        <v>468</v>
      </c>
    </row>
    <row r="41" spans="1:12" x14ac:dyDescent="0.35">
      <c r="A41" s="12" t="str">
        <f>_xlfn.XLOOKUP($B41, table_s3_events!$B:$B, table_s3_events!$A:$A)</f>
        <v>Land plant evolution</v>
      </c>
      <c r="B41" s="16" t="s">
        <v>411</v>
      </c>
      <c r="C41" s="12" t="str">
        <f>_xlfn.XLOOKUP($B41, table_s3_events!$B:$B, table_s3_events!$E:$E)</f>
        <v>persistent</v>
      </c>
      <c r="D41" s="12" t="s">
        <v>292</v>
      </c>
      <c r="E41" s="12" t="s">
        <v>231</v>
      </c>
      <c r="F41" s="12" t="s">
        <v>215</v>
      </c>
      <c r="G41" s="12" t="s">
        <v>232</v>
      </c>
      <c r="H41" s="12">
        <v>18000</v>
      </c>
      <c r="I41" s="17">
        <f>_xlfn.XLOOKUP(A41, table_s3_events!A:A, table_s3_events!J:J)</f>
        <v>60000000</v>
      </c>
      <c r="J41" s="20">
        <f t="shared" si="6"/>
        <v>3</v>
      </c>
      <c r="K41" s="18">
        <f t="shared" si="7"/>
        <v>300</v>
      </c>
      <c r="L41" s="12" t="s">
        <v>467</v>
      </c>
    </row>
    <row r="42" spans="1:12" x14ac:dyDescent="0.35">
      <c r="A42" s="12" t="str">
        <f>_xlfn.XLOOKUP($B42, table_s3_events!$B:$B, table_s3_events!$A:$A)</f>
        <v>Carnian (Triassic)</v>
      </c>
      <c r="B42" s="12" t="s">
        <v>405</v>
      </c>
      <c r="C42" s="12" t="str">
        <f>_xlfn.XLOOKUP($B42, table_s3_events!$B:$B, table_s3_events!$E:$E)</f>
        <v>transient</v>
      </c>
      <c r="D42" s="16" t="s">
        <v>270</v>
      </c>
      <c r="E42" s="12" t="s">
        <v>240</v>
      </c>
      <c r="F42" s="12" t="s">
        <v>268</v>
      </c>
      <c r="G42" s="12" t="s">
        <v>232</v>
      </c>
      <c r="H42" s="12">
        <v>-62</v>
      </c>
      <c r="I42" s="17">
        <f>_xlfn.XLOOKUP(A42, table_s3_events!A:A, table_s3_events!J:J)</f>
        <v>1090000</v>
      </c>
      <c r="J42" s="20">
        <f t="shared" si="6"/>
        <v>-0.56880733944954132</v>
      </c>
      <c r="K42" s="18">
        <f t="shared" si="7"/>
        <v>-56.880733944954123</v>
      </c>
      <c r="L42" s="12" t="s">
        <v>271</v>
      </c>
    </row>
    <row r="43" spans="1:12" x14ac:dyDescent="0.35">
      <c r="A43" s="12" t="str">
        <f>_xlfn.XLOOKUP($B43, table_s3_events!$B:$B, table_s3_events!$A:$A)</f>
        <v>Carnian (Triassic)</v>
      </c>
      <c r="B43" s="12" t="s">
        <v>405</v>
      </c>
      <c r="C43" s="12" t="str">
        <f>_xlfn.XLOOKUP($B43, table_s3_events!$B:$B, table_s3_events!$E:$E)</f>
        <v>transient</v>
      </c>
      <c r="D43" s="16" t="s">
        <v>270</v>
      </c>
      <c r="E43" s="12" t="s">
        <v>240</v>
      </c>
      <c r="F43" s="12" t="s">
        <v>268</v>
      </c>
      <c r="G43" s="12" t="s">
        <v>232</v>
      </c>
      <c r="H43" s="12">
        <v>-51</v>
      </c>
      <c r="I43" s="17">
        <f>_xlfn.XLOOKUP(A43, table_s3_events!A:A, table_s3_events!J:J)</f>
        <v>1090000</v>
      </c>
      <c r="J43" s="20">
        <f t="shared" si="6"/>
        <v>-0.46788990825688076</v>
      </c>
      <c r="K43" s="18">
        <f t="shared" si="7"/>
        <v>-46.788990825688067</v>
      </c>
      <c r="L43" s="12" t="s">
        <v>271</v>
      </c>
    </row>
    <row r="44" spans="1:12" x14ac:dyDescent="0.35">
      <c r="A44" s="12" t="str">
        <f>_xlfn.XLOOKUP($B44, table_s3_events!$B:$B, table_s3_events!$A:$A)</f>
        <v>Carnian (Triassic)</v>
      </c>
      <c r="B44" s="12" t="s">
        <v>405</v>
      </c>
      <c r="C44" s="12" t="str">
        <f>_xlfn.XLOOKUP($B44, table_s3_events!$B:$B, table_s3_events!$E:$E)</f>
        <v>transient</v>
      </c>
      <c r="D44" s="16" t="s">
        <v>265</v>
      </c>
      <c r="E44" s="12" t="s">
        <v>240</v>
      </c>
      <c r="F44" s="12" t="s">
        <v>236</v>
      </c>
      <c r="G44" s="12" t="s">
        <v>232</v>
      </c>
      <c r="H44" s="12">
        <v>-33</v>
      </c>
      <c r="I44" s="17">
        <f>_xlfn.XLOOKUP(A44, table_s3_events!A:A, table_s3_events!J:J)</f>
        <v>1090000</v>
      </c>
      <c r="J44" s="20">
        <f t="shared" si="6"/>
        <v>-0.30275229357798167</v>
      </c>
      <c r="K44" s="18">
        <f t="shared" si="7"/>
        <v>-30.275229357798164</v>
      </c>
      <c r="L44" s="12" t="s">
        <v>267</v>
      </c>
    </row>
    <row r="45" spans="1:12" x14ac:dyDescent="0.35">
      <c r="A45" s="12" t="str">
        <f>_xlfn.XLOOKUP($B45, table_s3_events!$B:$B, table_s3_events!$A:$A)</f>
        <v>Cretaceous-Palaeogene boundary</v>
      </c>
      <c r="B45" s="12" t="s">
        <v>55</v>
      </c>
      <c r="C45" s="12" t="str">
        <f>_xlfn.XLOOKUP($B45, table_s3_events!$B:$B, table_s3_events!$E:$E)</f>
        <v>transient</v>
      </c>
      <c r="D45" s="12" t="s">
        <v>62</v>
      </c>
      <c r="E45" s="12" t="s">
        <v>240</v>
      </c>
      <c r="F45" s="12" t="s">
        <v>236</v>
      </c>
      <c r="G45" s="12" t="s">
        <v>232</v>
      </c>
      <c r="H45" s="12">
        <v>-40</v>
      </c>
      <c r="I45" s="17">
        <f>_xlfn.XLOOKUP(A45, table_s3_events!A:A, table_s3_events!J:J)</f>
        <v>30</v>
      </c>
      <c r="J45" s="20">
        <f t="shared" si="6"/>
        <v>-13333.333333333334</v>
      </c>
      <c r="K45" s="18">
        <f t="shared" si="7"/>
        <v>-1333333.3333333333</v>
      </c>
    </row>
    <row r="46" spans="1:12" x14ac:dyDescent="0.35">
      <c r="A46" s="12" t="str">
        <f>_xlfn.XLOOKUP($B46, table_s3_events!$B:$B, table_s3_events!$A:$A)</f>
        <v>Cretaceous-Palaeogene boundary</v>
      </c>
      <c r="B46" s="12" t="s">
        <v>55</v>
      </c>
      <c r="C46" s="12" t="str">
        <f>_xlfn.XLOOKUP($B46, table_s3_events!$B:$B, table_s3_events!$E:$E)</f>
        <v>transient</v>
      </c>
      <c r="D46" s="16" t="s">
        <v>210</v>
      </c>
      <c r="E46" s="12" t="s">
        <v>240</v>
      </c>
      <c r="F46" s="12" t="s">
        <v>236</v>
      </c>
      <c r="G46" s="12" t="s">
        <v>232</v>
      </c>
      <c r="H46" s="12">
        <v>-40</v>
      </c>
      <c r="I46" s="17">
        <f>_xlfn.XLOOKUP(A46, table_s3_events!A:A, table_s3_events!J:J)</f>
        <v>30</v>
      </c>
      <c r="J46" s="20">
        <f t="shared" si="6"/>
        <v>-13333.333333333334</v>
      </c>
      <c r="K46" s="18">
        <f t="shared" si="7"/>
        <v>-1333333.3333333333</v>
      </c>
    </row>
    <row r="47" spans="1:12" x14ac:dyDescent="0.35">
      <c r="A47" s="12" t="str">
        <f>_xlfn.XLOOKUP($B47, table_s3_events!$B:$B, table_s3_events!$A:$A)</f>
        <v>Cretaceous-Palaeogene boundary</v>
      </c>
      <c r="B47" s="12" t="s">
        <v>55</v>
      </c>
      <c r="C47" s="12" t="str">
        <f>_xlfn.XLOOKUP($B47, table_s3_events!$B:$B, table_s3_events!$E:$E)</f>
        <v>transient</v>
      </c>
      <c r="D47" s="16" t="s">
        <v>209</v>
      </c>
      <c r="E47" s="12" t="s">
        <v>240</v>
      </c>
      <c r="F47" s="12" t="s">
        <v>236</v>
      </c>
      <c r="G47" s="12" t="s">
        <v>232</v>
      </c>
      <c r="H47" s="12">
        <v>-39</v>
      </c>
      <c r="I47" s="17">
        <f>_xlfn.XLOOKUP(A47, table_s3_events!A:A, table_s3_events!J:J)</f>
        <v>30</v>
      </c>
      <c r="J47" s="20">
        <f t="shared" si="6"/>
        <v>-13000</v>
      </c>
      <c r="K47" s="18">
        <f t="shared" si="7"/>
        <v>-1300000</v>
      </c>
    </row>
    <row r="48" spans="1:12" x14ac:dyDescent="0.35">
      <c r="A48" s="12" t="str">
        <f>_xlfn.XLOOKUP($B48, table_s3_events!$B:$B, table_s3_events!$A:$A)</f>
        <v>Cretaceous-Palaeogene boundary</v>
      </c>
      <c r="B48" s="12" t="s">
        <v>55</v>
      </c>
      <c r="C48" s="12" t="str">
        <f>_xlfn.XLOOKUP($B48, table_s3_events!$B:$B, table_s3_events!$E:$E)</f>
        <v>transient</v>
      </c>
      <c r="D48" s="16" t="s">
        <v>520</v>
      </c>
      <c r="E48" s="12" t="s">
        <v>231</v>
      </c>
      <c r="F48" s="12" t="s">
        <v>236</v>
      </c>
      <c r="G48" s="12" t="s">
        <v>232</v>
      </c>
      <c r="H48" s="12">
        <v>-75</v>
      </c>
      <c r="I48" s="17">
        <f>_xlfn.XLOOKUP(A48, table_s3_events!A:A, table_s3_events!J:J)</f>
        <v>30</v>
      </c>
      <c r="J48" s="20">
        <f t="shared" si="6"/>
        <v>-25000</v>
      </c>
      <c r="K48" s="18">
        <f t="shared" si="7"/>
        <v>-2500000</v>
      </c>
      <c r="L48" s="12" t="s">
        <v>522</v>
      </c>
    </row>
    <row r="49" spans="1:11" x14ac:dyDescent="0.35">
      <c r="A49" s="12" t="str">
        <f>_xlfn.XLOOKUP($B49, table_s3_events!$B:$B, table_s3_events!$A:$A)</f>
        <v>End-Guadalupian (Capitanian; Permian)</v>
      </c>
      <c r="B49" s="12" t="s">
        <v>406</v>
      </c>
      <c r="C49" s="12" t="str">
        <f>_xlfn.XLOOKUP($B49, table_s3_events!$B:$B, table_s3_events!$E:$E)</f>
        <v>transient</v>
      </c>
      <c r="D49" s="12" t="s">
        <v>62</v>
      </c>
      <c r="E49" s="12" t="s">
        <v>240</v>
      </c>
      <c r="F49" s="12" t="s">
        <v>236</v>
      </c>
      <c r="G49" s="12" t="s">
        <v>232</v>
      </c>
      <c r="H49" s="12">
        <v>-48</v>
      </c>
      <c r="I49" s="17">
        <f>_xlfn.XLOOKUP(A49, table_s3_events!A:A, table_s3_events!J:J)</f>
        <v>1500000</v>
      </c>
      <c r="J49" s="20">
        <f t="shared" si="6"/>
        <v>-0.32</v>
      </c>
      <c r="K49" s="18">
        <f t="shared" si="7"/>
        <v>-32</v>
      </c>
    </row>
    <row r="50" spans="1:11" ht="15.5" customHeight="1" x14ac:dyDescent="0.35">
      <c r="A50" s="12" t="str">
        <f>_xlfn.XLOOKUP($B50, table_s3_events!$B:$B, table_s3_events!$A:$A)</f>
        <v>End-Guadalupian (Capitanian; Permian)</v>
      </c>
      <c r="B50" s="12" t="s">
        <v>406</v>
      </c>
      <c r="C50" s="12" t="str">
        <f>_xlfn.XLOOKUP($B50, table_s3_events!$B:$B, table_s3_events!$E:$E)</f>
        <v>transient</v>
      </c>
      <c r="D50" s="16" t="s">
        <v>209</v>
      </c>
      <c r="E50" s="12" t="s">
        <v>240</v>
      </c>
      <c r="F50" s="12" t="s">
        <v>236</v>
      </c>
      <c r="G50" s="12" t="s">
        <v>232</v>
      </c>
      <c r="H50" s="12">
        <v>-34</v>
      </c>
      <c r="I50" s="17">
        <f>_xlfn.XLOOKUP(A50, table_s3_events!A:A, table_s3_events!J:J)</f>
        <v>1500000</v>
      </c>
      <c r="J50" s="20">
        <f t="shared" si="6"/>
        <v>-0.22666666666666666</v>
      </c>
      <c r="K50" s="18">
        <f t="shared" si="7"/>
        <v>-22.666666666666668</v>
      </c>
    </row>
    <row r="51" spans="1:11" x14ac:dyDescent="0.35">
      <c r="A51" s="12" t="str">
        <f>_xlfn.XLOOKUP($B51, table_s3_events!$B:$B, table_s3_events!$A:$A)</f>
        <v>End-Guadalupian (Capitanian; Permian)</v>
      </c>
      <c r="B51" s="12" t="s">
        <v>406</v>
      </c>
      <c r="C51" s="12" t="str">
        <f>_xlfn.XLOOKUP($B51, table_s3_events!$B:$B, table_s3_events!$E:$E)</f>
        <v>transient</v>
      </c>
      <c r="D51" s="16" t="s">
        <v>210</v>
      </c>
      <c r="E51" s="12" t="s">
        <v>240</v>
      </c>
      <c r="F51" s="12" t="s">
        <v>236</v>
      </c>
      <c r="G51" s="12" t="s">
        <v>232</v>
      </c>
      <c r="H51" s="12">
        <v>-25</v>
      </c>
      <c r="I51" s="17">
        <f>_xlfn.XLOOKUP(A51, table_s3_events!A:A, table_s3_events!J:J)</f>
        <v>1500000</v>
      </c>
      <c r="J51" s="20">
        <f t="shared" si="6"/>
        <v>-0.16666666666666666</v>
      </c>
      <c r="K51" s="18">
        <f t="shared" si="7"/>
        <v>-16.666666666666668</v>
      </c>
    </row>
    <row r="52" spans="1:11" x14ac:dyDescent="0.35">
      <c r="A52" s="12" t="str">
        <f>_xlfn.XLOOKUP($B52, table_s3_events!$B:$B, table_s3_events!$A:$A)</f>
        <v>Permo-Triassic mass extinction</v>
      </c>
      <c r="B52" s="12" t="s">
        <v>54</v>
      </c>
      <c r="C52" s="12" t="str">
        <f>_xlfn.XLOOKUP($B52, table_s3_events!$B:$B, table_s3_events!$E:$E)</f>
        <v>transient</v>
      </c>
      <c r="D52" s="12" t="s">
        <v>196</v>
      </c>
      <c r="E52" s="12" t="s">
        <v>231</v>
      </c>
      <c r="F52" s="12" t="s">
        <v>197</v>
      </c>
      <c r="G52" s="12" t="s">
        <v>232</v>
      </c>
      <c r="H52" s="12">
        <v>-95</v>
      </c>
      <c r="I52" s="17">
        <f>_xlfn.XLOOKUP(A52, table_s3_events!A:A, table_s3_events!J:J)</f>
        <v>60000</v>
      </c>
      <c r="J52" s="20">
        <f t="shared" si="6"/>
        <v>-15.833333333333334</v>
      </c>
      <c r="K52" s="18">
        <f t="shared" si="7"/>
        <v>-1583.3333333333335</v>
      </c>
    </row>
    <row r="53" spans="1:11" x14ac:dyDescent="0.35">
      <c r="A53" s="12" t="str">
        <f>_xlfn.XLOOKUP($B53, table_s3_events!$B:$B, table_s3_events!$A:$A)</f>
        <v>Permo-Triassic mass extinction</v>
      </c>
      <c r="B53" s="12" t="s">
        <v>54</v>
      </c>
      <c r="C53" s="12" t="str">
        <f>_xlfn.XLOOKUP($B53, table_s3_events!$B:$B, table_s3_events!$E:$E)</f>
        <v>transient</v>
      </c>
      <c r="D53" s="12" t="s">
        <v>210</v>
      </c>
      <c r="E53" s="12" t="s">
        <v>240</v>
      </c>
      <c r="F53" s="12" t="s">
        <v>236</v>
      </c>
      <c r="G53" s="12" t="s">
        <v>232</v>
      </c>
      <c r="H53" s="12">
        <v>-83</v>
      </c>
      <c r="I53" s="17">
        <f>_xlfn.XLOOKUP(A53, table_s3_events!A:A, table_s3_events!J:J)</f>
        <v>60000</v>
      </c>
      <c r="J53" s="20">
        <f t="shared" si="6"/>
        <v>-13.833333333333334</v>
      </c>
      <c r="K53" s="18">
        <f t="shared" si="7"/>
        <v>-1383.3333333333335</v>
      </c>
    </row>
    <row r="54" spans="1:11" x14ac:dyDescent="0.35">
      <c r="A54" s="12" t="str">
        <f>_xlfn.XLOOKUP($B54, table_s3_events!$B:$B, table_s3_events!$A:$A)</f>
        <v>Permo-Triassic mass extinction</v>
      </c>
      <c r="B54" s="12" t="s">
        <v>54</v>
      </c>
      <c r="C54" s="12" t="str">
        <f>_xlfn.XLOOKUP($B54, table_s3_events!$B:$B, table_s3_events!$E:$E)</f>
        <v>transient</v>
      </c>
      <c r="D54" s="16" t="s">
        <v>296</v>
      </c>
      <c r="E54" s="12" t="s">
        <v>297</v>
      </c>
      <c r="F54" s="12" t="s">
        <v>298</v>
      </c>
      <c r="G54" s="12" t="s">
        <v>232</v>
      </c>
      <c r="H54" s="12">
        <v>-70</v>
      </c>
      <c r="I54" s="17">
        <f>_xlfn.XLOOKUP(A54, table_s3_events!A:A, table_s3_events!J:J)</f>
        <v>60000</v>
      </c>
      <c r="J54" s="20" t="str">
        <f t="shared" si="6"/>
        <v>NA</v>
      </c>
      <c r="K54" s="18">
        <f t="shared" si="7"/>
        <v>-1166.6666666666667</v>
      </c>
    </row>
    <row r="55" spans="1:11" x14ac:dyDescent="0.35">
      <c r="A55" s="12" t="str">
        <f>_xlfn.XLOOKUP($B55, table_s3_events!$B:$B, table_s3_events!$A:$A)</f>
        <v>Permo-Triassic mass extinction</v>
      </c>
      <c r="B55" s="12" t="s">
        <v>54</v>
      </c>
      <c r="C55" s="12" t="str">
        <f>_xlfn.XLOOKUP($B55, table_s3_events!$B:$B, table_s3_events!$E:$E)</f>
        <v>transient</v>
      </c>
      <c r="D55" s="16" t="s">
        <v>209</v>
      </c>
      <c r="E55" s="12" t="s">
        <v>240</v>
      </c>
      <c r="F55" s="12" t="s">
        <v>236</v>
      </c>
      <c r="G55" s="12" t="s">
        <v>232</v>
      </c>
      <c r="H55" s="12">
        <v>-62</v>
      </c>
      <c r="I55" s="17">
        <f>_xlfn.XLOOKUP(A55, table_s3_events!A:A, table_s3_events!J:J)</f>
        <v>60000</v>
      </c>
      <c r="J55" s="20">
        <f t="shared" si="6"/>
        <v>-10.333333333333334</v>
      </c>
      <c r="K55" s="18">
        <f t="shared" si="7"/>
        <v>-1033.3333333333335</v>
      </c>
    </row>
    <row r="56" spans="1:11" x14ac:dyDescent="0.35">
      <c r="A56" s="12" t="str">
        <f>_xlfn.XLOOKUP($B56, table_s3_events!$B:$B, table_s3_events!$A:$A)</f>
        <v>Permo-Triassic mass extinction</v>
      </c>
      <c r="B56" s="12" t="s">
        <v>54</v>
      </c>
      <c r="C56" s="12" t="str">
        <f>_xlfn.XLOOKUP($B56, table_s3_events!$B:$B, table_s3_events!$E:$E)</f>
        <v>transient</v>
      </c>
      <c r="D56" s="12" t="s">
        <v>62</v>
      </c>
      <c r="E56" s="12" t="s">
        <v>240</v>
      </c>
      <c r="F56" s="12" t="s">
        <v>236</v>
      </c>
      <c r="G56" s="12" t="s">
        <v>232</v>
      </c>
      <c r="H56" s="12">
        <v>-56</v>
      </c>
      <c r="I56" s="17">
        <f>_xlfn.XLOOKUP(A56, table_s3_events!A:A, table_s3_events!J:J)</f>
        <v>60000</v>
      </c>
      <c r="J56" s="20">
        <f t="shared" si="6"/>
        <v>-9.3333333333333339</v>
      </c>
      <c r="K56" s="18">
        <f t="shared" si="7"/>
        <v>-933.33333333333337</v>
      </c>
    </row>
    <row r="57" spans="1:11" x14ac:dyDescent="0.35">
      <c r="A57" s="12" t="str">
        <f>_xlfn.XLOOKUP($B57, table_s3_events!$B:$B, table_s3_events!$A:$A)</f>
        <v>End-Triassic</v>
      </c>
      <c r="B57" s="12" t="s">
        <v>184</v>
      </c>
      <c r="C57" s="12" t="str">
        <f>_xlfn.XLOOKUP($B57, table_s3_events!$B:$B, table_s3_events!$E:$E)</f>
        <v>transient</v>
      </c>
      <c r="D57" s="12" t="s">
        <v>196</v>
      </c>
      <c r="E57" s="12" t="s">
        <v>231</v>
      </c>
      <c r="F57" s="12" t="s">
        <v>197</v>
      </c>
      <c r="G57" s="12" t="s">
        <v>232</v>
      </c>
      <c r="H57" s="12">
        <v>-80</v>
      </c>
      <c r="I57" s="17">
        <f>_xlfn.XLOOKUP(A57, table_s3_events!A:A, table_s3_events!J:J)</f>
        <v>85000</v>
      </c>
      <c r="J57" s="20">
        <f t="shared" si="6"/>
        <v>-9.4117647058823533</v>
      </c>
      <c r="K57" s="18">
        <f t="shared" si="7"/>
        <v>-941.17647058823525</v>
      </c>
    </row>
    <row r="58" spans="1:11" x14ac:dyDescent="0.35">
      <c r="A58" s="12" t="str">
        <f>_xlfn.XLOOKUP($B58, table_s3_events!$B:$B, table_s3_events!$A:$A)</f>
        <v>End-Triassic</v>
      </c>
      <c r="B58" s="12" t="s">
        <v>184</v>
      </c>
      <c r="C58" s="12" t="str">
        <f>_xlfn.XLOOKUP($B58, table_s3_events!$B:$B, table_s3_events!$E:$E)</f>
        <v>transient</v>
      </c>
      <c r="D58" s="12" t="s">
        <v>210</v>
      </c>
      <c r="E58" s="12" t="s">
        <v>240</v>
      </c>
      <c r="F58" s="12" t="s">
        <v>236</v>
      </c>
      <c r="G58" s="12" t="s">
        <v>232</v>
      </c>
      <c r="H58" s="12">
        <v>-73</v>
      </c>
      <c r="I58" s="17">
        <f>_xlfn.XLOOKUP(A58, table_s3_events!A:A, table_s3_events!J:J)</f>
        <v>85000</v>
      </c>
      <c r="J58" s="20">
        <f t="shared" si="6"/>
        <v>-8.5882352941176467</v>
      </c>
      <c r="K58" s="18">
        <f t="shared" si="7"/>
        <v>-858.82352941176464</v>
      </c>
    </row>
    <row r="59" spans="1:11" x14ac:dyDescent="0.35">
      <c r="A59" s="12" t="str">
        <f>_xlfn.XLOOKUP($B59, table_s3_events!$B:$B, table_s3_events!$A:$A)</f>
        <v>End-Triassic</v>
      </c>
      <c r="B59" s="12" t="s">
        <v>184</v>
      </c>
      <c r="C59" s="12" t="str">
        <f>_xlfn.XLOOKUP($B59, table_s3_events!$B:$B, table_s3_events!$E:$E)</f>
        <v>transient</v>
      </c>
      <c r="D59" s="12" t="s">
        <v>62</v>
      </c>
      <c r="E59" s="12" t="s">
        <v>240</v>
      </c>
      <c r="F59" s="12" t="s">
        <v>236</v>
      </c>
      <c r="G59" s="12" t="s">
        <v>232</v>
      </c>
      <c r="H59" s="12">
        <v>-47</v>
      </c>
      <c r="I59" s="17">
        <f>_xlfn.XLOOKUP(A59, table_s3_events!A:A, table_s3_events!J:J)</f>
        <v>85000</v>
      </c>
      <c r="J59" s="20">
        <f t="shared" si="6"/>
        <v>-5.5294117647058822</v>
      </c>
      <c r="K59" s="18">
        <f t="shared" si="7"/>
        <v>-552.94117647058818</v>
      </c>
    </row>
    <row r="60" spans="1:11" x14ac:dyDescent="0.35">
      <c r="A60" s="12" t="str">
        <f>_xlfn.XLOOKUP($B60, table_s3_events!$B:$B, table_s3_events!$A:$A)</f>
        <v>Eocene-Oligocene transition</v>
      </c>
      <c r="B60" s="12" t="s">
        <v>200</v>
      </c>
      <c r="C60" s="12" t="str">
        <f>_xlfn.XLOOKUP($B60, table_s3_events!$B:$B, table_s3_events!$E:$E)</f>
        <v>transient</v>
      </c>
      <c r="D60" s="12" t="s">
        <v>203</v>
      </c>
      <c r="E60" s="12" t="s">
        <v>231</v>
      </c>
      <c r="F60" s="12" t="s">
        <v>202</v>
      </c>
      <c r="G60" s="12" t="s">
        <v>232</v>
      </c>
      <c r="H60" s="12">
        <v>-77</v>
      </c>
      <c r="I60" s="17">
        <f>_xlfn.XLOOKUP(A60, table_s3_events!A:A, table_s3_events!J:J)</f>
        <v>100000</v>
      </c>
      <c r="J60" s="20">
        <f t="shared" si="6"/>
        <v>-7.7</v>
      </c>
      <c r="K60" s="18">
        <f t="shared" si="7"/>
        <v>-770</v>
      </c>
    </row>
    <row r="61" spans="1:11" x14ac:dyDescent="0.35">
      <c r="A61" s="12" t="str">
        <f>_xlfn.XLOOKUP($B61, table_s3_events!$B:$B, table_s3_events!$A:$A)</f>
        <v>Eocene-Oligocene transition</v>
      </c>
      <c r="B61" s="12" t="s">
        <v>200</v>
      </c>
      <c r="C61" s="12" t="str">
        <f>_xlfn.XLOOKUP($B61, table_s3_events!$B:$B, table_s3_events!$E:$E)</f>
        <v>transient</v>
      </c>
      <c r="D61" s="12" t="s">
        <v>62</v>
      </c>
      <c r="E61" s="12" t="s">
        <v>240</v>
      </c>
      <c r="F61" s="12" t="s">
        <v>236</v>
      </c>
      <c r="G61" s="12" t="s">
        <v>232</v>
      </c>
      <c r="H61" s="12">
        <v>-16</v>
      </c>
      <c r="I61" s="17">
        <f>_xlfn.XLOOKUP(A61, table_s3_events!A:A, table_s3_events!J:J)</f>
        <v>100000</v>
      </c>
      <c r="J61" s="20">
        <f t="shared" si="6"/>
        <v>-1.6</v>
      </c>
      <c r="K61" s="18">
        <f t="shared" si="7"/>
        <v>-160</v>
      </c>
    </row>
    <row r="62" spans="1:11" x14ac:dyDescent="0.35">
      <c r="A62" s="12" t="str">
        <f>_xlfn.XLOOKUP($B62, table_s3_events!$B:$B, table_s3_events!$A:$A)</f>
        <v>Eocene-Oligocene transition</v>
      </c>
      <c r="B62" s="12" t="s">
        <v>200</v>
      </c>
      <c r="C62" s="12" t="str">
        <f>_xlfn.XLOOKUP($B62, table_s3_events!$B:$B, table_s3_events!$E:$E)</f>
        <v>transient</v>
      </c>
      <c r="D62" s="12" t="s">
        <v>201</v>
      </c>
      <c r="E62" s="12" t="s">
        <v>231</v>
      </c>
      <c r="F62" s="12" t="s">
        <v>235</v>
      </c>
      <c r="G62" s="12" t="s">
        <v>232</v>
      </c>
      <c r="H62" s="12">
        <v>-15</v>
      </c>
      <c r="I62" s="17">
        <f>_xlfn.XLOOKUP(A62, table_s3_events!A:A, table_s3_events!J:J)</f>
        <v>100000</v>
      </c>
      <c r="J62" s="20">
        <f t="shared" si="6"/>
        <v>-1.5</v>
      </c>
      <c r="K62" s="18">
        <f t="shared" si="7"/>
        <v>-150</v>
      </c>
    </row>
    <row r="63" spans="1:11" x14ac:dyDescent="0.35">
      <c r="A63" s="12" t="str">
        <f>_xlfn.XLOOKUP($B63, table_s3_events!$B:$B, table_s3_events!$A:$A)</f>
        <v>Frasnian-Famenian (Late Devonian)</v>
      </c>
      <c r="B63" s="12" t="s">
        <v>57</v>
      </c>
      <c r="C63" s="12" t="str">
        <f>_xlfn.XLOOKUP($B63, table_s3_events!$B:$B, table_s3_events!$E:$E)</f>
        <v>transient</v>
      </c>
      <c r="D63" s="16" t="s">
        <v>210</v>
      </c>
      <c r="E63" s="12" t="s">
        <v>240</v>
      </c>
      <c r="F63" s="12" t="s">
        <v>236</v>
      </c>
      <c r="G63" s="12" t="s">
        <v>232</v>
      </c>
      <c r="H63" s="12">
        <v>-40</v>
      </c>
      <c r="I63" s="17">
        <f>_xlfn.XLOOKUP(A63, table_s3_events!A:A, table_s3_events!J:J)</f>
        <v>100000</v>
      </c>
      <c r="J63" s="20">
        <f t="shared" si="6"/>
        <v>-4</v>
      </c>
      <c r="K63" s="18">
        <f t="shared" si="7"/>
        <v>-400</v>
      </c>
    </row>
    <row r="64" spans="1:11" x14ac:dyDescent="0.35">
      <c r="A64" s="12" t="str">
        <f>_xlfn.XLOOKUP($B64, table_s3_events!$B:$B, table_s3_events!$A:$A)</f>
        <v>Frasnian-Famenian (Late Devonian)</v>
      </c>
      <c r="B64" s="12" t="s">
        <v>57</v>
      </c>
      <c r="C64" s="12" t="str">
        <f>_xlfn.XLOOKUP($B64, table_s3_events!$B:$B, table_s3_events!$E:$E)</f>
        <v>transient</v>
      </c>
      <c r="D64" s="12" t="s">
        <v>62</v>
      </c>
      <c r="E64" s="12" t="s">
        <v>240</v>
      </c>
      <c r="F64" s="12" t="s">
        <v>236</v>
      </c>
      <c r="G64" s="12" t="s">
        <v>232</v>
      </c>
      <c r="H64" s="12">
        <v>-35</v>
      </c>
      <c r="I64" s="17">
        <f>_xlfn.XLOOKUP(A64, table_s3_events!A:A, table_s3_events!J:J)</f>
        <v>100000</v>
      </c>
      <c r="J64" s="20">
        <f t="shared" si="6"/>
        <v>-3.5</v>
      </c>
      <c r="K64" s="18">
        <f t="shared" si="7"/>
        <v>-350</v>
      </c>
    </row>
    <row r="65" spans="1:25" x14ac:dyDescent="0.35">
      <c r="A65" s="12" t="str">
        <f>_xlfn.XLOOKUP($B65, table_s3_events!$B:$B, table_s3_events!$A:$A)</f>
        <v>Frasnian-Famenian (Late Devonian)</v>
      </c>
      <c r="B65" s="12" t="s">
        <v>57</v>
      </c>
      <c r="C65" s="12" t="str">
        <f>_xlfn.XLOOKUP($B65, table_s3_events!$B:$B, table_s3_events!$E:$E)</f>
        <v>transient</v>
      </c>
      <c r="D65" s="16" t="s">
        <v>209</v>
      </c>
      <c r="E65" s="12" t="s">
        <v>240</v>
      </c>
      <c r="F65" s="12" t="s">
        <v>236</v>
      </c>
      <c r="G65" s="12" t="s">
        <v>232</v>
      </c>
      <c r="H65" s="12">
        <v>-18</v>
      </c>
      <c r="I65" s="17">
        <f>_xlfn.XLOOKUP(A65, table_s3_events!A:A, table_s3_events!J:J)</f>
        <v>100000</v>
      </c>
      <c r="J65" s="20">
        <f t="shared" si="6"/>
        <v>-1.8</v>
      </c>
      <c r="K65" s="18">
        <f t="shared" si="7"/>
        <v>-180</v>
      </c>
    </row>
    <row r="66" spans="1:25" x14ac:dyDescent="0.35">
      <c r="A66" s="12" t="str">
        <f>_xlfn.XLOOKUP($B66, table_s3_events!$B:$B, table_s3_events!$A:$A)</f>
        <v>Hangenberg Event (end-Devonian)</v>
      </c>
      <c r="B66" s="12" t="s">
        <v>408</v>
      </c>
      <c r="C66" s="12" t="str">
        <f>_xlfn.XLOOKUP($B66, table_s3_events!$B:$B, table_s3_events!$E:$E)</f>
        <v>transient</v>
      </c>
      <c r="D66" s="12" t="s">
        <v>210</v>
      </c>
      <c r="E66" s="12" t="s">
        <v>240</v>
      </c>
      <c r="F66" s="12" t="s">
        <v>236</v>
      </c>
      <c r="G66" s="12" t="s">
        <v>232</v>
      </c>
      <c r="H66" s="12">
        <v>-50</v>
      </c>
      <c r="I66" s="17">
        <f>_xlfn.XLOOKUP(A66, table_s3_events!A:A, table_s3_events!J:J)</f>
        <v>100000</v>
      </c>
      <c r="J66" s="20">
        <f t="shared" ref="J66:J99" si="8">IF(OR(E66="species", E66="genus"), (H66*10^4)/I66,"NA")</f>
        <v>-5</v>
      </c>
      <c r="K66" s="18">
        <f t="shared" ref="K66:K99" si="9">IF(G66="percent", H66/(I66/10^6), "NA")</f>
        <v>-500</v>
      </c>
    </row>
    <row r="67" spans="1:25" x14ac:dyDescent="0.35">
      <c r="A67" s="12" t="str">
        <f>_xlfn.XLOOKUP($B67, table_s3_events!$B:$B, table_s3_events!$A:$A)</f>
        <v>Hangenberg Event (end-Devonian)</v>
      </c>
      <c r="B67" s="12" t="s">
        <v>408</v>
      </c>
      <c r="C67" s="12" t="str">
        <f>_xlfn.XLOOKUP($B67, table_s3_events!$B:$B, table_s3_events!$E:$E)</f>
        <v>transient</v>
      </c>
      <c r="D67" s="12" t="s">
        <v>62</v>
      </c>
      <c r="E67" s="12" t="s">
        <v>240</v>
      </c>
      <c r="F67" s="12" t="s">
        <v>236</v>
      </c>
      <c r="G67" s="12" t="s">
        <v>232</v>
      </c>
      <c r="H67" s="12">
        <v>-31</v>
      </c>
      <c r="I67" s="17">
        <f>_xlfn.XLOOKUP(A67, table_s3_events!A:A, table_s3_events!J:J)</f>
        <v>100000</v>
      </c>
      <c r="J67" s="20">
        <f t="shared" si="8"/>
        <v>-3.1</v>
      </c>
      <c r="K67" s="18">
        <f t="shared" si="9"/>
        <v>-310</v>
      </c>
    </row>
    <row r="68" spans="1:25" x14ac:dyDescent="0.35">
      <c r="A68" s="12" t="str">
        <f>_xlfn.XLOOKUP($B68, table_s3_events!$B:$B, table_s3_events!$A:$A)</f>
        <v>Ireviken Event (Sheinwoodian, Wenlock, Silurian)</v>
      </c>
      <c r="B68" s="12" t="s">
        <v>410</v>
      </c>
      <c r="C68" s="12" t="str">
        <f>_xlfn.XLOOKUP($B68, table_s3_events!$B:$B, table_s3_events!$E:$E)</f>
        <v>transient</v>
      </c>
      <c r="D68" s="16" t="s">
        <v>429</v>
      </c>
      <c r="E68" s="12" t="s">
        <v>240</v>
      </c>
      <c r="F68" s="12" t="s">
        <v>236</v>
      </c>
      <c r="G68" s="12" t="s">
        <v>232</v>
      </c>
      <c r="H68" s="12">
        <v>-22</v>
      </c>
      <c r="I68" s="17">
        <f>_xlfn.XLOOKUP(A68, table_s3_events!A:A, table_s3_events!J:J)</f>
        <v>1000000</v>
      </c>
      <c r="J68" s="20">
        <f t="shared" si="8"/>
        <v>-0.22</v>
      </c>
      <c r="K68" s="18">
        <f t="shared" si="9"/>
        <v>-22</v>
      </c>
    </row>
    <row r="69" spans="1:25" x14ac:dyDescent="0.35">
      <c r="A69" s="12" t="str">
        <f>_xlfn.XLOOKUP($B69, table_s3_events!$B:$B, table_s3_events!$A:$A)</f>
        <v>Jurassic-Cretaceous extinction (Tithonian)</v>
      </c>
      <c r="B69" s="12" t="s">
        <v>205</v>
      </c>
      <c r="C69" s="12" t="str">
        <f>_xlfn.XLOOKUP($B69, table_s3_events!$B:$B, table_s3_events!$E:$E)</f>
        <v>transient</v>
      </c>
      <c r="D69" s="12" t="s">
        <v>62</v>
      </c>
      <c r="E69" s="12" t="s">
        <v>240</v>
      </c>
      <c r="F69" s="12" t="s">
        <v>236</v>
      </c>
      <c r="G69" s="12" t="s">
        <v>232</v>
      </c>
      <c r="H69" s="12">
        <v>-20</v>
      </c>
      <c r="I69" s="17">
        <f>_xlfn.XLOOKUP(A69, table_s3_events!A:A, table_s3_events!J:J)</f>
        <v>1000000</v>
      </c>
      <c r="J69" s="20">
        <f t="shared" si="8"/>
        <v>-0.2</v>
      </c>
      <c r="K69" s="18">
        <f t="shared" si="9"/>
        <v>-20</v>
      </c>
      <c r="Y69" s="19"/>
    </row>
    <row r="70" spans="1:25" x14ac:dyDescent="0.35">
      <c r="A70" s="12" t="str">
        <f>_xlfn.XLOOKUP($B70, table_s3_events!$B:$B, table_s3_events!$A:$A)</f>
        <v>Kačák Event (Eifelian, Middle Devonian)</v>
      </c>
      <c r="B70" s="12" t="s">
        <v>227</v>
      </c>
      <c r="C70" s="12" t="str">
        <f>_xlfn.XLOOKUP($B70, table_s3_events!$B:$B, table_s3_events!$E:$E)</f>
        <v>transient</v>
      </c>
      <c r="D70" s="16" t="s">
        <v>210</v>
      </c>
      <c r="E70" s="12" t="s">
        <v>240</v>
      </c>
      <c r="F70" s="12" t="s">
        <v>236</v>
      </c>
      <c r="G70" s="12" t="s">
        <v>232</v>
      </c>
      <c r="H70" s="12">
        <v>-32</v>
      </c>
      <c r="I70" s="17">
        <f>_xlfn.XLOOKUP(A70, table_s3_events!A:A, table_s3_events!J:J)</f>
        <v>100000</v>
      </c>
      <c r="J70" s="20">
        <f t="shared" si="8"/>
        <v>-3.2</v>
      </c>
      <c r="K70" s="18">
        <f t="shared" si="9"/>
        <v>-320</v>
      </c>
      <c r="Y70" s="19"/>
    </row>
    <row r="71" spans="1:25" x14ac:dyDescent="0.35">
      <c r="A71" s="12" t="str">
        <f>_xlfn.XLOOKUP($B71, table_s3_events!$B:$B, table_s3_events!$A:$A)</f>
        <v>Late Ordovician Mass Extinction</v>
      </c>
      <c r="B71" s="12" t="s">
        <v>61</v>
      </c>
      <c r="C71" s="12" t="s">
        <v>49</v>
      </c>
      <c r="D71" s="16" t="s">
        <v>540</v>
      </c>
      <c r="E71" s="12" t="s">
        <v>231</v>
      </c>
      <c r="F71" s="12" t="s">
        <v>236</v>
      </c>
      <c r="G71" s="12" t="s">
        <v>232</v>
      </c>
      <c r="H71" s="12">
        <v>-85</v>
      </c>
      <c r="I71" s="17">
        <f>_xlfn.XLOOKUP(A71, table_s3_events!A:A, table_s3_events!J:J)</f>
        <v>500000</v>
      </c>
      <c r="J71" s="20">
        <f t="shared" ref="J71:J72" si="10">IF(OR(E71="species", E71="genus"), (H71*10^4)/I71,"NA")</f>
        <v>-1.7</v>
      </c>
      <c r="K71" s="18">
        <f t="shared" ref="K71:K72" si="11">IF(G71="percent", H71/(I71/10^6), "NA")</f>
        <v>-170</v>
      </c>
      <c r="Y71" s="19"/>
    </row>
    <row r="72" spans="1:25" x14ac:dyDescent="0.35">
      <c r="A72" s="12" t="str">
        <f>_xlfn.XLOOKUP($B72, table_s3_events!$B:$B, table_s3_events!$A:$A)</f>
        <v>Late Ordovician Mass Extinction</v>
      </c>
      <c r="B72" s="12" t="s">
        <v>61</v>
      </c>
      <c r="C72" s="12" t="s">
        <v>49</v>
      </c>
      <c r="D72" s="16" t="s">
        <v>540</v>
      </c>
      <c r="E72" s="12" t="s">
        <v>240</v>
      </c>
      <c r="F72" s="12" t="s">
        <v>236</v>
      </c>
      <c r="G72" s="12" t="s">
        <v>232</v>
      </c>
      <c r="H72" s="12">
        <v>-49</v>
      </c>
      <c r="I72" s="17">
        <f>_xlfn.XLOOKUP(A72, table_s3_events!A:A, table_s3_events!J:J)</f>
        <v>500000</v>
      </c>
      <c r="J72" s="20">
        <f t="shared" si="10"/>
        <v>-0.98</v>
      </c>
      <c r="K72" s="18">
        <f t="shared" si="11"/>
        <v>-98</v>
      </c>
      <c r="X72" s="19"/>
      <c r="Y72" s="19"/>
    </row>
    <row r="73" spans="1:25" x14ac:dyDescent="0.35">
      <c r="A73" s="12" t="str">
        <f>_xlfn.XLOOKUP($B73, table_s3_events!$B:$B, table_s3_events!$A:$A)</f>
        <v>Late Ordovician Mass Extinction</v>
      </c>
      <c r="B73" s="12" t="s">
        <v>61</v>
      </c>
      <c r="C73" s="12" t="str">
        <f>_xlfn.XLOOKUP($B73, table_s3_events!$B:$B, table_s3_events!$E:$E)</f>
        <v>transient</v>
      </c>
      <c r="D73" s="12" t="s">
        <v>62</v>
      </c>
      <c r="E73" s="12" t="s">
        <v>240</v>
      </c>
      <c r="F73" s="12" t="s">
        <v>236</v>
      </c>
      <c r="G73" s="12" t="s">
        <v>232</v>
      </c>
      <c r="H73" s="12">
        <v>-57</v>
      </c>
      <c r="I73" s="17">
        <f>_xlfn.XLOOKUP(A73, table_s3_events!A:A, table_s3_events!J:J)</f>
        <v>500000</v>
      </c>
      <c r="J73" s="20">
        <f t="shared" si="8"/>
        <v>-1.1399999999999999</v>
      </c>
      <c r="K73" s="18">
        <f t="shared" si="9"/>
        <v>-114</v>
      </c>
      <c r="Y73" s="19"/>
    </row>
    <row r="74" spans="1:25" x14ac:dyDescent="0.35">
      <c r="A74" s="12" t="str">
        <f>_xlfn.XLOOKUP($B74, table_s3_events!$B:$B, table_s3_events!$A:$A)</f>
        <v>Late Ordovician Mass Extinction</v>
      </c>
      <c r="B74" s="12" t="s">
        <v>61</v>
      </c>
      <c r="C74" s="12" t="str">
        <f>_xlfn.XLOOKUP($B74, table_s3_events!$B:$B, table_s3_events!$E:$E)</f>
        <v>transient</v>
      </c>
      <c r="D74" s="12" t="s">
        <v>210</v>
      </c>
      <c r="E74" s="12" t="s">
        <v>240</v>
      </c>
      <c r="F74" s="12" t="s">
        <v>236</v>
      </c>
      <c r="G74" s="12" t="s">
        <v>232</v>
      </c>
      <c r="H74" s="12">
        <v>-52</v>
      </c>
      <c r="I74" s="17">
        <f>_xlfn.XLOOKUP(A74, table_s3_events!A:A, table_s3_events!J:J)</f>
        <v>500000</v>
      </c>
      <c r="J74" s="20">
        <f t="shared" si="8"/>
        <v>-1.04</v>
      </c>
      <c r="K74" s="18">
        <f t="shared" si="9"/>
        <v>-104</v>
      </c>
      <c r="X74" s="19"/>
      <c r="Y74" s="19"/>
    </row>
    <row r="75" spans="1:25" x14ac:dyDescent="0.35">
      <c r="A75" s="12" t="str">
        <f>_xlfn.XLOOKUP($B75, table_s3_events!$B:$B, table_s3_events!$A:$A)</f>
        <v>Late Ordovician Mass Extinction</v>
      </c>
      <c r="B75" s="12" t="s">
        <v>61</v>
      </c>
      <c r="C75" s="12" t="str">
        <f>_xlfn.XLOOKUP($B75, table_s3_events!$B:$B, table_s3_events!$E:$E)</f>
        <v>transient</v>
      </c>
      <c r="D75" s="16" t="s">
        <v>209</v>
      </c>
      <c r="E75" s="12" t="s">
        <v>240</v>
      </c>
      <c r="F75" s="12" t="s">
        <v>236</v>
      </c>
      <c r="G75" s="12" t="s">
        <v>232</v>
      </c>
      <c r="H75" s="12">
        <v>-46</v>
      </c>
      <c r="I75" s="17">
        <f>_xlfn.XLOOKUP(A75, table_s3_events!A:A, table_s3_events!J:J)</f>
        <v>500000</v>
      </c>
      <c r="J75" s="20">
        <f t="shared" si="8"/>
        <v>-0.92</v>
      </c>
      <c r="K75" s="18">
        <f t="shared" si="9"/>
        <v>-92</v>
      </c>
    </row>
    <row r="76" spans="1:25" x14ac:dyDescent="0.35">
      <c r="A76" s="12" t="str">
        <f>_xlfn.XLOOKUP($B76, table_s3_events!$B:$B, table_s3_events!$A:$A)</f>
        <v>Lau Event (Ludfordian, Ludlow, Silurian)</v>
      </c>
      <c r="B76" s="12" t="s">
        <v>198</v>
      </c>
      <c r="C76" s="12" t="str">
        <f>_xlfn.XLOOKUP($B76, table_s3_events!$B:$B, table_s3_events!$E:$E)</f>
        <v>transient</v>
      </c>
      <c r="D76" s="16" t="s">
        <v>429</v>
      </c>
      <c r="E76" s="12" t="s">
        <v>240</v>
      </c>
      <c r="F76" s="12" t="s">
        <v>236</v>
      </c>
      <c r="G76" s="12" t="s">
        <v>232</v>
      </c>
      <c r="H76" s="12">
        <v>-21</v>
      </c>
      <c r="I76" s="17">
        <f>_xlfn.XLOOKUP(A76, table_s3_events!A:A, table_s3_events!J:J)</f>
        <v>500000</v>
      </c>
      <c r="J76" s="20">
        <f t="shared" si="8"/>
        <v>-0.42</v>
      </c>
      <c r="K76" s="18">
        <f t="shared" si="9"/>
        <v>-42</v>
      </c>
    </row>
    <row r="77" spans="1:25" x14ac:dyDescent="0.35">
      <c r="A77" s="12" t="str">
        <f>_xlfn.XLOOKUP($B77, table_s3_events!$B:$B, table_s3_events!$A:$A)</f>
        <v>Lau Event (Ludfordian, Ludlow, Silurian)</v>
      </c>
      <c r="B77" s="12" t="s">
        <v>198</v>
      </c>
      <c r="C77" s="12" t="str">
        <f>_xlfn.XLOOKUP($B77, table_s3_events!$B:$B, table_s3_events!$E:$E)</f>
        <v>transient</v>
      </c>
      <c r="D77" s="16" t="s">
        <v>210</v>
      </c>
      <c r="E77" s="12" t="s">
        <v>240</v>
      </c>
      <c r="F77" s="12" t="s">
        <v>236</v>
      </c>
      <c r="G77" s="12" t="s">
        <v>232</v>
      </c>
      <c r="H77" s="12">
        <v>-9</v>
      </c>
      <c r="I77" s="17">
        <f>_xlfn.XLOOKUP(A77, table_s3_events!A:A, table_s3_events!J:J)</f>
        <v>500000</v>
      </c>
      <c r="J77" s="20">
        <f t="shared" si="8"/>
        <v>-0.18</v>
      </c>
      <c r="K77" s="18">
        <f t="shared" si="9"/>
        <v>-18</v>
      </c>
    </row>
    <row r="78" spans="1:25" x14ac:dyDescent="0.35">
      <c r="A78" s="12" t="str">
        <f>_xlfn.XLOOKUP($B78, table_s3_events!$B:$B, table_s3_events!$A:$A)</f>
        <v>Mulde Event (Homerian, Wenlock, Silurian)</v>
      </c>
      <c r="B78" s="12" t="s">
        <v>204</v>
      </c>
      <c r="C78" s="12" t="str">
        <f>_xlfn.XLOOKUP($B78, table_s3_events!$B:$B, table_s3_events!$E:$E)</f>
        <v>transient</v>
      </c>
      <c r="D78" s="16" t="s">
        <v>429</v>
      </c>
      <c r="E78" s="12" t="s">
        <v>240</v>
      </c>
      <c r="F78" s="12" t="s">
        <v>236</v>
      </c>
      <c r="G78" s="12" t="s">
        <v>232</v>
      </c>
      <c r="H78" s="12">
        <v>-25</v>
      </c>
      <c r="I78" s="17">
        <f>_xlfn.XLOOKUP(A78, table_s3_events!A:A, table_s3_events!J:J)</f>
        <v>1000000</v>
      </c>
      <c r="J78" s="20">
        <f t="shared" si="8"/>
        <v>-0.25</v>
      </c>
      <c r="K78" s="18">
        <f t="shared" si="9"/>
        <v>-25</v>
      </c>
    </row>
    <row r="79" spans="1:25" x14ac:dyDescent="0.35">
      <c r="A79" s="12" t="str">
        <f>_xlfn.XLOOKUP($B79, table_s3_events!$B:$B, table_s3_events!$A:$A)</f>
        <v>OAE1a (Aptian)</v>
      </c>
      <c r="B79" s="12" t="s">
        <v>190</v>
      </c>
      <c r="C79" s="12" t="str">
        <f>_xlfn.XLOOKUP($B79, table_s3_events!$B:$B, table_s3_events!$E:$E)</f>
        <v>transient</v>
      </c>
      <c r="D79" s="12" t="s">
        <v>196</v>
      </c>
      <c r="E79" s="12" t="s">
        <v>231</v>
      </c>
      <c r="F79" s="12" t="s">
        <v>197</v>
      </c>
      <c r="G79" s="12" t="s">
        <v>232</v>
      </c>
      <c r="H79" s="12">
        <v>-22</v>
      </c>
      <c r="I79" s="17">
        <f>_xlfn.XLOOKUP(A79, table_s3_events!A:A, table_s3_events!J:J)</f>
        <v>500000</v>
      </c>
      <c r="J79" s="20">
        <f t="shared" si="8"/>
        <v>-0.44</v>
      </c>
      <c r="K79" s="18">
        <f t="shared" si="9"/>
        <v>-44</v>
      </c>
    </row>
    <row r="80" spans="1:25" x14ac:dyDescent="0.35">
      <c r="A80" s="12" t="str">
        <f>_xlfn.XLOOKUP($B80, table_s3_events!$B:$B, table_s3_events!$A:$A)</f>
        <v>OAE2 (Cenomanian-Turonian)</v>
      </c>
      <c r="B80" s="12" t="s">
        <v>189</v>
      </c>
      <c r="C80" s="12" t="str">
        <f>_xlfn.XLOOKUP($B80, table_s3_events!$B:$B, table_s3_events!$E:$E)</f>
        <v>transient</v>
      </c>
      <c r="D80" s="12" t="s">
        <v>196</v>
      </c>
      <c r="E80" s="12" t="s">
        <v>231</v>
      </c>
      <c r="F80" s="12" t="s">
        <v>197</v>
      </c>
      <c r="G80" s="12" t="s">
        <v>232</v>
      </c>
      <c r="H80" s="12">
        <v>-20</v>
      </c>
      <c r="I80" s="17">
        <f>_xlfn.XLOOKUP(A80, table_s3_events!A:A, table_s3_events!J:J)</f>
        <v>500000</v>
      </c>
      <c r="J80" s="20">
        <f t="shared" si="8"/>
        <v>-0.4</v>
      </c>
      <c r="K80" s="18">
        <f t="shared" si="9"/>
        <v>-40</v>
      </c>
    </row>
    <row r="81" spans="1:12" x14ac:dyDescent="0.35">
      <c r="A81" s="12" t="str">
        <f>_xlfn.XLOOKUP($B81, table_s3_events!$B:$B, table_s3_events!$A:$A)</f>
        <v>Palaeocene-Eocene Thermal Maximum</v>
      </c>
      <c r="B81" s="12" t="s">
        <v>56</v>
      </c>
      <c r="C81" s="12" t="str">
        <f>_xlfn.XLOOKUP($B81, table_s3_events!$B:$B, table_s3_events!$E:$E)</f>
        <v>transient</v>
      </c>
      <c r="D81" s="12" t="s">
        <v>199</v>
      </c>
      <c r="E81" s="12" t="s">
        <v>231</v>
      </c>
      <c r="F81" s="12" t="s">
        <v>234</v>
      </c>
      <c r="G81" s="12" t="s">
        <v>232</v>
      </c>
      <c r="H81" s="12">
        <v>-65</v>
      </c>
      <c r="I81" s="17">
        <f>_xlfn.XLOOKUP(A81, table_s3_events!A:A, table_s3_events!J:J)</f>
        <v>150000</v>
      </c>
      <c r="J81" s="20">
        <f t="shared" si="8"/>
        <v>-4.333333333333333</v>
      </c>
      <c r="K81" s="18">
        <f t="shared" si="9"/>
        <v>-433.33333333333337</v>
      </c>
    </row>
    <row r="82" spans="1:12" x14ac:dyDescent="0.35">
      <c r="A82" s="12" t="str">
        <f>_xlfn.XLOOKUP($B82, table_s3_events!$B:$B, table_s3_events!$A:$A)</f>
        <v>Palaeocene-Eocene Thermal Maximum</v>
      </c>
      <c r="B82" s="12" t="s">
        <v>56</v>
      </c>
      <c r="C82" s="12" t="str">
        <f>_xlfn.XLOOKUP($B82, table_s3_events!$B:$B, table_s3_events!$E:$E)</f>
        <v>transient</v>
      </c>
      <c r="D82" s="12" t="s">
        <v>199</v>
      </c>
      <c r="E82" s="12" t="s">
        <v>231</v>
      </c>
      <c r="F82" s="12" t="s">
        <v>234</v>
      </c>
      <c r="G82" s="12" t="s">
        <v>232</v>
      </c>
      <c r="H82" s="12">
        <v>-33</v>
      </c>
      <c r="I82" s="17">
        <f>_xlfn.XLOOKUP(A82, table_s3_events!A:A, table_s3_events!J:J)</f>
        <v>150000</v>
      </c>
      <c r="J82" s="20">
        <f t="shared" si="8"/>
        <v>-2.2000000000000002</v>
      </c>
      <c r="K82" s="18">
        <f t="shared" si="9"/>
        <v>-220</v>
      </c>
    </row>
    <row r="83" spans="1:12" x14ac:dyDescent="0.35">
      <c r="A83" s="12" t="str">
        <f>_xlfn.XLOOKUP($B83, table_s3_events!$B:$B, table_s3_events!$A:$A)</f>
        <v>Palaeocene-Eocene Thermal Maximum</v>
      </c>
      <c r="B83" s="12" t="s">
        <v>56</v>
      </c>
      <c r="C83" s="12" t="str">
        <f>_xlfn.XLOOKUP($B83, table_s3_events!$B:$B, table_s3_events!$E:$E)</f>
        <v>transient</v>
      </c>
      <c r="D83" s="12" t="s">
        <v>196</v>
      </c>
      <c r="E83" s="12" t="s">
        <v>231</v>
      </c>
      <c r="F83" s="12" t="s">
        <v>197</v>
      </c>
      <c r="G83" s="12" t="s">
        <v>232</v>
      </c>
      <c r="H83" s="12">
        <v>-20</v>
      </c>
      <c r="I83" s="17">
        <f>_xlfn.XLOOKUP(A83, table_s3_events!A:A, table_s3_events!J:J)</f>
        <v>150000</v>
      </c>
      <c r="J83" s="20">
        <f t="shared" si="8"/>
        <v>-1.3333333333333333</v>
      </c>
      <c r="K83" s="18">
        <f t="shared" si="9"/>
        <v>-133.33333333333334</v>
      </c>
    </row>
    <row r="84" spans="1:12" x14ac:dyDescent="0.35">
      <c r="A84" s="12" t="str">
        <f>_xlfn.XLOOKUP($B84, table_s3_events!$B:$B, table_s3_events!$A:$A)</f>
        <v>Palaeocene-Eocene Thermal Maximum</v>
      </c>
      <c r="B84" s="12" t="s">
        <v>56</v>
      </c>
      <c r="C84" s="12" t="str">
        <f>_xlfn.XLOOKUP($B84, table_s3_events!$B:$B, table_s3_events!$E:$E)</f>
        <v>transient</v>
      </c>
      <c r="D84" s="12" t="s">
        <v>196</v>
      </c>
      <c r="E84" s="12" t="s">
        <v>231</v>
      </c>
      <c r="F84" s="12" t="s">
        <v>197</v>
      </c>
      <c r="G84" s="12" t="s">
        <v>232</v>
      </c>
      <c r="H84" s="12">
        <v>-1</v>
      </c>
      <c r="I84" s="17">
        <f>_xlfn.XLOOKUP(A84, table_s3_events!A:A, table_s3_events!J:J)</f>
        <v>150000</v>
      </c>
      <c r="J84" s="20">
        <f t="shared" si="8"/>
        <v>-6.6666666666666666E-2</v>
      </c>
      <c r="K84" s="18">
        <f t="shared" si="9"/>
        <v>-6.666666666666667</v>
      </c>
    </row>
    <row r="85" spans="1:12" x14ac:dyDescent="0.35">
      <c r="A85" s="12" t="str">
        <f>_xlfn.XLOOKUP($B85, table_s3_events!$B:$B, table_s3_events!$A:$A)</f>
        <v>Pliocene-Pleistocene transition</v>
      </c>
      <c r="B85" s="12" t="s">
        <v>481</v>
      </c>
      <c r="C85" s="12" t="str">
        <f>_xlfn.XLOOKUP($B85, table_s3_events!$B:$B, table_s3_events!$E:$E)</f>
        <v>transient</v>
      </c>
      <c r="D85" s="12" t="s">
        <v>482</v>
      </c>
      <c r="E85" s="12" t="s">
        <v>240</v>
      </c>
      <c r="F85" s="12" t="s">
        <v>236</v>
      </c>
      <c r="G85" s="12" t="s">
        <v>232</v>
      </c>
      <c r="H85" s="12">
        <v>-0.5</v>
      </c>
      <c r="I85" s="17">
        <f>_xlfn.XLOOKUP(A85, table_s3_events!A:A, table_s3_events!J:J)</f>
        <v>500000</v>
      </c>
      <c r="J85" s="20">
        <f t="shared" si="8"/>
        <v>-0.01</v>
      </c>
      <c r="K85" s="18">
        <f t="shared" si="9"/>
        <v>-1</v>
      </c>
      <c r="L85" s="12" t="s">
        <v>485</v>
      </c>
    </row>
    <row r="86" spans="1:12" x14ac:dyDescent="0.35">
      <c r="A86" s="12" t="str">
        <f>_xlfn.XLOOKUP($B86, table_s3_events!$B:$B, table_s3_events!$A:$A)</f>
        <v>Pliocene-Pleistocene transition</v>
      </c>
      <c r="B86" s="12" t="s">
        <v>481</v>
      </c>
      <c r="C86" s="12" t="str">
        <f>_xlfn.XLOOKUP($B86, table_s3_events!$B:$B, table_s3_events!$E:$E)</f>
        <v>transient</v>
      </c>
      <c r="D86" s="12" t="s">
        <v>482</v>
      </c>
      <c r="E86" s="12" t="s">
        <v>240</v>
      </c>
      <c r="F86" s="12" t="s">
        <v>236</v>
      </c>
      <c r="G86" s="12" t="s">
        <v>232</v>
      </c>
      <c r="H86" s="12">
        <v>-11</v>
      </c>
      <c r="I86" s="17">
        <f>_xlfn.XLOOKUP(A86, table_s3_events!A:A, table_s3_events!J:J)</f>
        <v>500000</v>
      </c>
      <c r="J86" s="20">
        <f t="shared" si="8"/>
        <v>-0.22</v>
      </c>
      <c r="K86" s="18">
        <f t="shared" si="9"/>
        <v>-22</v>
      </c>
      <c r="L86" s="12" t="s">
        <v>486</v>
      </c>
    </row>
    <row r="87" spans="1:12" x14ac:dyDescent="0.35">
      <c r="A87" s="12" t="str">
        <f>_xlfn.XLOOKUP($B87, table_s3_events!$B:$B, table_s3_events!$A:$A)</f>
        <v>Pliocene-Pleistocene transition</v>
      </c>
      <c r="B87" s="12" t="s">
        <v>481</v>
      </c>
      <c r="C87" s="12" t="str">
        <f>_xlfn.XLOOKUP($B87, table_s3_events!$B:$B, table_s3_events!$E:$E)</f>
        <v>transient</v>
      </c>
      <c r="D87" s="12" t="s">
        <v>482</v>
      </c>
      <c r="E87" s="12" t="s">
        <v>240</v>
      </c>
      <c r="F87" s="12" t="s">
        <v>487</v>
      </c>
      <c r="G87" s="12" t="s">
        <v>232</v>
      </c>
      <c r="H87" s="12">
        <v>-36</v>
      </c>
      <c r="I87" s="17">
        <f>_xlfn.XLOOKUP(A87, table_s3_events!A:A, table_s3_events!J:J)</f>
        <v>500000</v>
      </c>
      <c r="J87" s="20">
        <f t="shared" si="8"/>
        <v>-0.72</v>
      </c>
      <c r="K87" s="18">
        <f t="shared" si="9"/>
        <v>-72</v>
      </c>
      <c r="L87" s="12" t="s">
        <v>491</v>
      </c>
    </row>
    <row r="88" spans="1:12" x14ac:dyDescent="0.35">
      <c r="A88" s="12" t="str">
        <f>_xlfn.XLOOKUP($B88, table_s3_events!$B:$B, table_s3_events!$A:$A)</f>
        <v>Pliocene-Pleistocene transition</v>
      </c>
      <c r="B88" s="12" t="s">
        <v>481</v>
      </c>
      <c r="C88" s="12" t="str">
        <f>_xlfn.XLOOKUP($B88, table_s3_events!$B:$B, table_s3_events!$E:$E)</f>
        <v>transient</v>
      </c>
      <c r="D88" s="12" t="s">
        <v>482</v>
      </c>
      <c r="E88" s="12" t="s">
        <v>231</v>
      </c>
      <c r="F88" s="12" t="s">
        <v>488</v>
      </c>
      <c r="G88" s="12" t="s">
        <v>232</v>
      </c>
      <c r="H88" s="12">
        <v>-49</v>
      </c>
      <c r="I88" s="17">
        <f>_xlfn.XLOOKUP(A88, table_s3_events!A:A, table_s3_events!J:J)</f>
        <v>500000</v>
      </c>
      <c r="J88" s="20">
        <f t="shared" si="8"/>
        <v>-0.98</v>
      </c>
      <c r="K88" s="18">
        <f t="shared" si="9"/>
        <v>-98</v>
      </c>
      <c r="L88" s="12" t="s">
        <v>492</v>
      </c>
    </row>
    <row r="89" spans="1:12" x14ac:dyDescent="0.35">
      <c r="A89" s="12" t="str">
        <f>_xlfn.XLOOKUP($B89, table_s3_events!$B:$B, table_s3_events!$A:$A)</f>
        <v>Pliocene-Pleistocene transition</v>
      </c>
      <c r="B89" s="12" t="s">
        <v>481</v>
      </c>
      <c r="C89" s="12" t="str">
        <f>_xlfn.XLOOKUP($B89, table_s3_events!$B:$B, table_s3_events!$E:$E)</f>
        <v>transient</v>
      </c>
      <c r="D89" s="12" t="s">
        <v>482</v>
      </c>
      <c r="E89" s="12" t="s">
        <v>231</v>
      </c>
      <c r="F89" s="12" t="s">
        <v>489</v>
      </c>
      <c r="G89" s="12" t="s">
        <v>232</v>
      </c>
      <c r="H89" s="12">
        <v>-42</v>
      </c>
      <c r="I89" s="17">
        <f>_xlfn.XLOOKUP(A89, table_s3_events!A:A, table_s3_events!J:J)</f>
        <v>500000</v>
      </c>
      <c r="J89" s="20">
        <f t="shared" si="8"/>
        <v>-0.84</v>
      </c>
      <c r="K89" s="18">
        <f t="shared" si="9"/>
        <v>-84</v>
      </c>
      <c r="L89" s="12" t="s">
        <v>490</v>
      </c>
    </row>
    <row r="90" spans="1:12" x14ac:dyDescent="0.35">
      <c r="A90" s="12" t="str">
        <f>_xlfn.XLOOKUP($B90, table_s3_events!$B:$B, table_s3_events!$A:$A)</f>
        <v>Redlichiid-Olenellid trilobite Extinction Carbon isotope Excursion (ROECE; Cambrian Stage 4–Miaolingian boundary)</v>
      </c>
      <c r="B90" s="12" t="s">
        <v>193</v>
      </c>
      <c r="C90" s="12" t="str">
        <f>_xlfn.XLOOKUP($B90, table_s3_events!$B:$B, table_s3_events!$E:$E)</f>
        <v>transient</v>
      </c>
      <c r="D90" s="16" t="s">
        <v>429</v>
      </c>
      <c r="E90" s="12" t="s">
        <v>240</v>
      </c>
      <c r="F90" s="12" t="s">
        <v>236</v>
      </c>
      <c r="G90" s="12" t="s">
        <v>232</v>
      </c>
      <c r="H90" s="12">
        <v>-50</v>
      </c>
      <c r="I90" s="17">
        <f>_xlfn.XLOOKUP(A90, table_s3_events!A:A, table_s3_events!J:J)</f>
        <v>500000</v>
      </c>
      <c r="J90" s="20">
        <f t="shared" si="8"/>
        <v>-1</v>
      </c>
      <c r="K90" s="18">
        <f t="shared" si="9"/>
        <v>-100</v>
      </c>
      <c r="L90" s="12" t="s">
        <v>431</v>
      </c>
    </row>
    <row r="91" spans="1:12" x14ac:dyDescent="0.35">
      <c r="A91" s="12" t="str">
        <f>_xlfn.XLOOKUP($B91, table_s3_events!$B:$B, table_s3_events!$A:$A)</f>
        <v>Serpukhovian (late Mississippian; Carboniferous)</v>
      </c>
      <c r="B91" s="12" t="s">
        <v>407</v>
      </c>
      <c r="C91" s="12" t="str">
        <f>_xlfn.XLOOKUP($B91, table_s3_events!$B:$B, table_s3_events!$E:$E)</f>
        <v>transient</v>
      </c>
      <c r="D91" s="16" t="s">
        <v>210</v>
      </c>
      <c r="E91" s="12" t="s">
        <v>240</v>
      </c>
      <c r="F91" s="12" t="s">
        <v>236</v>
      </c>
      <c r="G91" s="12" t="s">
        <v>232</v>
      </c>
      <c r="H91" s="12">
        <v>-39</v>
      </c>
      <c r="I91" s="17">
        <f>_xlfn.XLOOKUP(A91, table_s3_events!A:A, table_s3_events!J:J)</f>
        <v>4000000</v>
      </c>
      <c r="J91" s="20">
        <f t="shared" si="8"/>
        <v>-9.7500000000000003E-2</v>
      </c>
      <c r="K91" s="18">
        <f t="shared" si="9"/>
        <v>-9.75</v>
      </c>
    </row>
    <row r="92" spans="1:12" x14ac:dyDescent="0.35">
      <c r="A92" s="12" t="str">
        <f>_xlfn.XLOOKUP($B92, table_s3_events!$B:$B, table_s3_events!$A:$A)</f>
        <v>Serpukhovian (late Mississippian; Carboniferous)</v>
      </c>
      <c r="B92" s="12" t="s">
        <v>407</v>
      </c>
      <c r="C92" s="12" t="str">
        <f>_xlfn.XLOOKUP($B92, table_s3_events!$B:$B, table_s3_events!$E:$E)</f>
        <v>transient</v>
      </c>
      <c r="D92" s="12" t="s">
        <v>62</v>
      </c>
      <c r="E92" s="12" t="s">
        <v>240</v>
      </c>
      <c r="F92" s="12" t="s">
        <v>236</v>
      </c>
      <c r="G92" s="12" t="s">
        <v>232</v>
      </c>
      <c r="H92" s="12">
        <v>-31</v>
      </c>
      <c r="I92" s="17">
        <f>_xlfn.XLOOKUP(A92, table_s3_events!A:A, table_s3_events!J:J)</f>
        <v>4000000</v>
      </c>
      <c r="J92" s="20">
        <f t="shared" si="8"/>
        <v>-7.7499999999999999E-2</v>
      </c>
      <c r="K92" s="18">
        <f t="shared" si="9"/>
        <v>-7.75</v>
      </c>
    </row>
    <row r="93" spans="1:12" x14ac:dyDescent="0.35">
      <c r="A93" s="12" t="str">
        <f>_xlfn.XLOOKUP($B93, table_s3_events!$B:$B, table_s3_events!$A:$A)</f>
        <v>Serpukhovian (late Mississippian; Carboniferous)</v>
      </c>
      <c r="B93" s="12" t="s">
        <v>407</v>
      </c>
      <c r="C93" s="12" t="str">
        <f>_xlfn.XLOOKUP($B93, table_s3_events!$B:$B, table_s3_events!$E:$E)</f>
        <v>transient</v>
      </c>
      <c r="D93" s="16" t="s">
        <v>209</v>
      </c>
      <c r="E93" s="12" t="s">
        <v>240</v>
      </c>
      <c r="F93" s="12" t="s">
        <v>236</v>
      </c>
      <c r="G93" s="12" t="s">
        <v>232</v>
      </c>
      <c r="H93" s="12">
        <v>-14</v>
      </c>
      <c r="I93" s="17">
        <f>_xlfn.XLOOKUP(A93, table_s3_events!A:A, table_s3_events!J:J)</f>
        <v>4000000</v>
      </c>
      <c r="J93" s="20">
        <f t="shared" si="8"/>
        <v>-3.5000000000000003E-2</v>
      </c>
      <c r="K93" s="18">
        <f t="shared" si="9"/>
        <v>-3.5</v>
      </c>
    </row>
    <row r="94" spans="1:12" x14ac:dyDescent="0.35">
      <c r="A94" s="12" t="str">
        <f>_xlfn.XLOOKUP($B94, table_s3_events!$B:$B, table_s3_events!$A:$A)</f>
        <v>Sinsk Event / Archaeocyath Extinction Carbon isotope Excursion (AECE; Cambrian Stage 4)</v>
      </c>
      <c r="B94" s="12" t="s">
        <v>194</v>
      </c>
      <c r="C94" s="12" t="str">
        <f>_xlfn.XLOOKUP($B94, table_s3_events!$B:$B, table_s3_events!$E:$E)</f>
        <v>transient</v>
      </c>
      <c r="D94" s="16" t="s">
        <v>429</v>
      </c>
      <c r="E94" s="12" t="s">
        <v>240</v>
      </c>
      <c r="F94" s="12" t="s">
        <v>236</v>
      </c>
      <c r="G94" s="12" t="s">
        <v>232</v>
      </c>
      <c r="H94" s="12">
        <v>-50</v>
      </c>
      <c r="I94" s="17">
        <f>_xlfn.XLOOKUP(A94, table_s3_events!A:A, table_s3_events!J:J)</f>
        <v>1000000</v>
      </c>
      <c r="J94" s="20">
        <f t="shared" si="8"/>
        <v>-0.5</v>
      </c>
      <c r="K94" s="18">
        <f t="shared" si="9"/>
        <v>-50</v>
      </c>
      <c r="L94" s="12" t="s">
        <v>431</v>
      </c>
    </row>
    <row r="95" spans="1:12" x14ac:dyDescent="0.35">
      <c r="A95" s="12" t="str">
        <f>_xlfn.XLOOKUP($B95, table_s3_events!$B:$B, table_s3_events!$A:$A)</f>
        <v>Sinsk Event / Archaeocyath Extinction Carbon isotope Excursion (AECE; Cambrian Stage 4)</v>
      </c>
      <c r="B95" s="12" t="s">
        <v>194</v>
      </c>
      <c r="C95" s="12" t="str">
        <f>_xlfn.XLOOKUP($B95, table_s3_events!$B:$B, table_s3_events!$E:$E)</f>
        <v>transient</v>
      </c>
      <c r="D95" s="12" t="s">
        <v>62</v>
      </c>
      <c r="E95" s="12" t="s">
        <v>240</v>
      </c>
      <c r="F95" s="12" t="s">
        <v>236</v>
      </c>
      <c r="G95" s="12" t="s">
        <v>232</v>
      </c>
      <c r="H95" s="12">
        <v>-49</v>
      </c>
      <c r="I95" s="17">
        <f>_xlfn.XLOOKUP(A95, table_s3_events!A:A, table_s3_events!J:J)</f>
        <v>1000000</v>
      </c>
      <c r="J95" s="20">
        <f t="shared" si="8"/>
        <v>-0.49</v>
      </c>
      <c r="K95" s="18">
        <f t="shared" si="9"/>
        <v>-49</v>
      </c>
    </row>
    <row r="96" spans="1:12" x14ac:dyDescent="0.35">
      <c r="A96" s="12" t="str">
        <f>_xlfn.XLOOKUP($B96, table_s3_events!$B:$B, table_s3_events!$A:$A)</f>
        <v>Steptoean Positive Carbon Isotope Excursion (SPICE) / End-Marjuman Biomere Extinction (EMBE; Paibian, Cambrian)</v>
      </c>
      <c r="B96" s="12" t="s">
        <v>192</v>
      </c>
      <c r="C96" s="12" t="str">
        <f>_xlfn.XLOOKUP($B96, table_s3_events!$B:$B, table_s3_events!$E:$E)</f>
        <v>transient</v>
      </c>
      <c r="D96" s="12" t="s">
        <v>62</v>
      </c>
      <c r="E96" s="12" t="s">
        <v>240</v>
      </c>
      <c r="F96" s="12" t="s">
        <v>236</v>
      </c>
      <c r="G96" s="12" t="s">
        <v>232</v>
      </c>
      <c r="H96" s="12">
        <v>-65</v>
      </c>
      <c r="I96" s="17">
        <f>_xlfn.XLOOKUP(A96, table_s3_events!A:A, table_s3_events!J:J)</f>
        <v>2600000</v>
      </c>
      <c r="J96" s="20">
        <f t="shared" si="8"/>
        <v>-0.25</v>
      </c>
      <c r="K96" s="18">
        <f t="shared" si="9"/>
        <v>-25</v>
      </c>
    </row>
    <row r="97" spans="1:12" x14ac:dyDescent="0.35">
      <c r="A97" s="12" t="str">
        <f>_xlfn.XLOOKUP($B97, table_s3_events!$B:$B, table_s3_events!$A:$A)</f>
        <v>Steptoean Positive Carbon Isotope Excursion (SPICE) / End-Marjuman Biomere Extinction (EMBE; Paibian, Cambrian)</v>
      </c>
      <c r="B97" s="12" t="s">
        <v>192</v>
      </c>
      <c r="C97" s="12" t="str">
        <f>_xlfn.XLOOKUP($B97, table_s3_events!$B:$B, table_s3_events!$E:$E)</f>
        <v>transient</v>
      </c>
      <c r="D97" s="16" t="s">
        <v>429</v>
      </c>
      <c r="E97" s="12" t="s">
        <v>240</v>
      </c>
      <c r="F97" s="12" t="s">
        <v>236</v>
      </c>
      <c r="G97" s="12" t="s">
        <v>232</v>
      </c>
      <c r="H97" s="12">
        <v>-60</v>
      </c>
      <c r="I97" s="17">
        <f>_xlfn.XLOOKUP(A97, table_s3_events!A:A, table_s3_events!J:J)</f>
        <v>2600000</v>
      </c>
      <c r="J97" s="20">
        <f t="shared" si="8"/>
        <v>-0.23076923076923078</v>
      </c>
      <c r="K97" s="18">
        <f t="shared" si="9"/>
        <v>-23.076923076923077</v>
      </c>
      <c r="L97" s="12" t="s">
        <v>432</v>
      </c>
    </row>
    <row r="98" spans="1:12" x14ac:dyDescent="0.35">
      <c r="A98" s="12" t="str">
        <f>_xlfn.XLOOKUP($B98, table_s3_events!$B:$B, table_s3_events!$A:$A)</f>
        <v>Steptoean Positive Carbon Isotope Excursion (SPICE) / End-Marjuman Biomere Extinction (EMBE; Paibian, Cambrian)</v>
      </c>
      <c r="B98" s="12" t="s">
        <v>192</v>
      </c>
      <c r="C98" s="12" t="str">
        <f>_xlfn.XLOOKUP($B98, table_s3_events!$B:$B, table_s3_events!$E:$E)</f>
        <v>transient</v>
      </c>
      <c r="D98" s="12" t="s">
        <v>62</v>
      </c>
      <c r="E98" s="12" t="s">
        <v>240</v>
      </c>
      <c r="F98" s="12" t="s">
        <v>236</v>
      </c>
      <c r="G98" s="12" t="s">
        <v>232</v>
      </c>
      <c r="H98" s="12">
        <v>-59</v>
      </c>
      <c r="I98" s="17">
        <f>_xlfn.XLOOKUP(A98, table_s3_events!A:A, table_s3_events!J:J)</f>
        <v>2600000</v>
      </c>
      <c r="J98" s="20">
        <f t="shared" si="8"/>
        <v>-0.22692307692307692</v>
      </c>
      <c r="K98" s="18">
        <f t="shared" si="9"/>
        <v>-22.69230769230769</v>
      </c>
    </row>
    <row r="99" spans="1:12" x14ac:dyDescent="0.35">
      <c r="A99" s="12" t="str">
        <f>_xlfn.XLOOKUP($B99, table_s3_events!$B:$B, table_s3_events!$A:$A)</f>
        <v>Steptoean Positive Carbon Isotope Excursion (SPICE) / End-Marjuman Biomere Extinction (EMBE; Paibian, Cambrian)</v>
      </c>
      <c r="B99" s="12" t="s">
        <v>192</v>
      </c>
      <c r="C99" s="12" t="str">
        <f>_xlfn.XLOOKUP($B99, table_s3_events!$B:$B, table_s3_events!$E:$E)</f>
        <v>transient</v>
      </c>
      <c r="D99" s="12" t="s">
        <v>62</v>
      </c>
      <c r="E99" s="12" t="s">
        <v>240</v>
      </c>
      <c r="F99" s="12" t="s">
        <v>236</v>
      </c>
      <c r="G99" s="12" t="s">
        <v>232</v>
      </c>
      <c r="H99" s="12">
        <v>-58</v>
      </c>
      <c r="I99" s="17">
        <f>_xlfn.XLOOKUP(A99, table_s3_events!A:A, table_s3_events!J:J)</f>
        <v>2600000</v>
      </c>
      <c r="J99" s="20">
        <f t="shared" si="8"/>
        <v>-0.22307692307692309</v>
      </c>
      <c r="K99" s="18">
        <f t="shared" si="9"/>
        <v>-22.307692307692307</v>
      </c>
    </row>
    <row r="100" spans="1:12" x14ac:dyDescent="0.35">
      <c r="A100" s="12" t="str">
        <f>_xlfn.XLOOKUP($B100, table_s3_events!$B:$B, table_s3_events!$A:$A)</f>
        <v>Taghanic Event (Giventian, Middle Devonian)</v>
      </c>
      <c r="B100" s="12" t="s">
        <v>409</v>
      </c>
      <c r="C100" s="12" t="str">
        <f>_xlfn.XLOOKUP($B100, table_s3_events!$B:$B, table_s3_events!$E:$E)</f>
        <v>transient</v>
      </c>
      <c r="D100" s="16" t="s">
        <v>210</v>
      </c>
      <c r="E100" s="12" t="s">
        <v>240</v>
      </c>
      <c r="F100" s="12" t="s">
        <v>236</v>
      </c>
      <c r="G100" s="12" t="s">
        <v>232</v>
      </c>
      <c r="H100" s="12">
        <v>-36</v>
      </c>
      <c r="I100" s="17">
        <f>_xlfn.XLOOKUP(A100, table_s3_events!A:A, table_s3_events!J:J)</f>
        <v>1500000</v>
      </c>
      <c r="J100" s="20">
        <f t="shared" ref="J100:J105" si="12">IF(OR(E100="species", E100="genus"), (H100*10^4)/I100,"NA")</f>
        <v>-0.24</v>
      </c>
      <c r="K100" s="18">
        <f t="shared" ref="K100:K105" si="13">IF(G100="percent", H100/(I100/10^6), "NA")</f>
        <v>-24</v>
      </c>
    </row>
    <row r="101" spans="1:12" x14ac:dyDescent="0.35">
      <c r="A101" s="12" t="str">
        <f>_xlfn.XLOOKUP($B101, table_s3_events!$B:$B, table_s3_events!$A:$A)</f>
        <v>Taghanic Event (Giventian, Middle Devonian)</v>
      </c>
      <c r="B101" s="12" t="s">
        <v>409</v>
      </c>
      <c r="C101" s="12" t="str">
        <f>_xlfn.XLOOKUP($B101, table_s3_events!$B:$B, table_s3_events!$E:$E)</f>
        <v>transient</v>
      </c>
      <c r="D101" s="12" t="s">
        <v>62</v>
      </c>
      <c r="E101" s="12" t="s">
        <v>240</v>
      </c>
      <c r="F101" s="12" t="s">
        <v>236</v>
      </c>
      <c r="G101" s="12" t="s">
        <v>232</v>
      </c>
      <c r="H101" s="12">
        <v>-29</v>
      </c>
      <c r="I101" s="17">
        <f>_xlfn.XLOOKUP(A101, table_s3_events!A:A, table_s3_events!J:J)</f>
        <v>1500000</v>
      </c>
      <c r="J101" s="20">
        <f t="shared" si="12"/>
        <v>-0.19333333333333333</v>
      </c>
      <c r="K101" s="18">
        <f t="shared" si="13"/>
        <v>-19.333333333333332</v>
      </c>
    </row>
    <row r="102" spans="1:12" x14ac:dyDescent="0.35">
      <c r="A102" s="12" t="str">
        <f>_xlfn.XLOOKUP($B102, table_s3_events!$B:$B, table_s3_events!$A:$A)</f>
        <v>T-OAE (Toarcian)</v>
      </c>
      <c r="B102" s="12" t="s">
        <v>191</v>
      </c>
      <c r="C102" s="12" t="str">
        <f>_xlfn.XLOOKUP($B102, table_s3_events!$B:$B, table_s3_events!$E:$E)</f>
        <v>transient</v>
      </c>
      <c r="D102" s="12" t="s">
        <v>62</v>
      </c>
      <c r="E102" s="12" t="s">
        <v>240</v>
      </c>
      <c r="F102" s="12" t="s">
        <v>236</v>
      </c>
      <c r="G102" s="12" t="s">
        <v>232</v>
      </c>
      <c r="H102" s="12">
        <v>-25</v>
      </c>
      <c r="I102" s="17">
        <f>_xlfn.XLOOKUP(A102, table_s3_events!A:A, table_s3_events!J:J)</f>
        <v>500000</v>
      </c>
      <c r="J102" s="20">
        <f t="shared" si="12"/>
        <v>-0.5</v>
      </c>
      <c r="K102" s="18">
        <f t="shared" si="13"/>
        <v>-50</v>
      </c>
    </row>
    <row r="103" spans="1:12" x14ac:dyDescent="0.35">
      <c r="A103" s="12" t="str">
        <f>_xlfn.XLOOKUP($B103, table_s3_events!$B:$B, table_s3_events!$A:$A)</f>
        <v>T-OAE (Toarcian)</v>
      </c>
      <c r="B103" s="12" t="s">
        <v>191</v>
      </c>
      <c r="C103" s="12" t="str">
        <f>_xlfn.XLOOKUP($B103, table_s3_events!$B:$B, table_s3_events!$E:$E)</f>
        <v>transient</v>
      </c>
      <c r="D103" s="12" t="s">
        <v>62</v>
      </c>
      <c r="E103" s="12" t="s">
        <v>240</v>
      </c>
      <c r="F103" s="12" t="s">
        <v>236</v>
      </c>
      <c r="G103" s="12" t="s">
        <v>232</v>
      </c>
      <c r="H103" s="12">
        <v>-22</v>
      </c>
      <c r="I103" s="17">
        <f>_xlfn.XLOOKUP(A103, table_s3_events!A:A, table_s3_events!J:J)</f>
        <v>500000</v>
      </c>
      <c r="J103" s="20">
        <f t="shared" si="12"/>
        <v>-0.44</v>
      </c>
      <c r="K103" s="18">
        <f t="shared" si="13"/>
        <v>-44</v>
      </c>
    </row>
    <row r="104" spans="1:12" x14ac:dyDescent="0.35">
      <c r="A104" s="12" t="str">
        <f>_xlfn.XLOOKUP($B104, table_s3_events!$B:$B, table_s3_events!$A:$A)</f>
        <v>T-OAE (Toarcian)</v>
      </c>
      <c r="B104" s="12" t="s">
        <v>191</v>
      </c>
      <c r="C104" s="12" t="str">
        <f>_xlfn.XLOOKUP($B104, table_s3_events!$B:$B, table_s3_events!$E:$E)</f>
        <v>transient</v>
      </c>
      <c r="D104" s="12" t="s">
        <v>196</v>
      </c>
      <c r="E104" s="12" t="s">
        <v>231</v>
      </c>
      <c r="F104" s="12" t="s">
        <v>197</v>
      </c>
      <c r="G104" s="12" t="s">
        <v>232</v>
      </c>
      <c r="H104" s="12">
        <v>-20</v>
      </c>
      <c r="I104" s="17">
        <f>_xlfn.XLOOKUP(A104, table_s3_events!A:A, table_s3_events!J:J)</f>
        <v>500000</v>
      </c>
      <c r="J104" s="20">
        <f t="shared" si="12"/>
        <v>-0.4</v>
      </c>
      <c r="K104" s="18">
        <f t="shared" si="13"/>
        <v>-40</v>
      </c>
    </row>
    <row r="105" spans="1:12" x14ac:dyDescent="0.35">
      <c r="A105" s="12" t="str">
        <f>_xlfn.XLOOKUP($B105, table_s3_events!$B:$B, table_s3_events!$A:$A)</f>
        <v>T-OAE (Toarcian)</v>
      </c>
      <c r="B105" s="12" t="s">
        <v>191</v>
      </c>
      <c r="C105" s="12" t="str">
        <f>_xlfn.XLOOKUP($B105, table_s3_events!$B:$B, table_s3_events!$E:$E)</f>
        <v>transient</v>
      </c>
      <c r="D105" s="12" t="s">
        <v>196</v>
      </c>
      <c r="E105" s="12" t="s">
        <v>231</v>
      </c>
      <c r="F105" s="12" t="s">
        <v>197</v>
      </c>
      <c r="G105" s="12" t="s">
        <v>232</v>
      </c>
      <c r="H105" s="12">
        <v>-15</v>
      </c>
      <c r="I105" s="17">
        <f>_xlfn.XLOOKUP(A105, table_s3_events!A:A, table_s3_events!J:J)</f>
        <v>500000</v>
      </c>
      <c r="J105" s="20">
        <f t="shared" si="12"/>
        <v>-0.3</v>
      </c>
      <c r="K105" s="18">
        <f t="shared" si="13"/>
        <v>-30</v>
      </c>
    </row>
  </sheetData>
  <autoFilter ref="A1:L105" xr:uid="{582492E0-B1D4-4D01-BDC9-52F30A59C1EC}">
    <sortState xmlns:xlrd2="http://schemas.microsoft.com/office/spreadsheetml/2017/richdata2" ref="A2:L105">
      <sortCondition ref="C1:C105"/>
    </sortState>
  </autoFilter>
  <phoneticPr fontId="3" type="noConversion"/>
  <conditionalFormatting sqref="D17:D20 D63:D1048576 D1:D14 D22:D60">
    <cfRule type="beginsWith" dxfId="11" priority="11" operator="beginsWith" text="guess">
      <formula>LEFT(D1,LEN("guess"))="guess"</formula>
    </cfRule>
    <cfRule type="beginsWith" dxfId="10" priority="13" operator="beginsWith" text="estimate">
      <formula>LEFT(D1,LEN("estimate"))="estimate"</formula>
    </cfRule>
  </conditionalFormatting>
  <conditionalFormatting sqref="D21">
    <cfRule type="beginsWith" dxfId="9" priority="9" operator="beginsWith" text="guess">
      <formula>LEFT(D21,LEN("guess"))="guess"</formula>
    </cfRule>
    <cfRule type="beginsWith" dxfId="8" priority="10" operator="beginsWith" text="estimate">
      <formula>LEFT(D21,LEN("estimate"))="estimate"</formula>
    </cfRule>
  </conditionalFormatting>
  <conditionalFormatting sqref="D16">
    <cfRule type="beginsWith" dxfId="7" priority="7" operator="beginsWith" text="guess">
      <formula>LEFT(D16,LEN("guess"))="guess"</formula>
    </cfRule>
    <cfRule type="beginsWith" dxfId="6" priority="8" operator="beginsWith" text="estimate">
      <formula>LEFT(D16,LEN("estimate"))="estimate"</formula>
    </cfRule>
  </conditionalFormatting>
  <conditionalFormatting sqref="D15">
    <cfRule type="beginsWith" dxfId="5" priority="5" operator="beginsWith" text="guess">
      <formula>LEFT(D15,LEN("guess"))="guess"</formula>
    </cfRule>
    <cfRule type="beginsWith" dxfId="4" priority="6" operator="beginsWith" text="estimate">
      <formula>LEFT(D15,LEN("estimate"))="estimate"</formula>
    </cfRule>
  </conditionalFormatting>
  <conditionalFormatting sqref="D62">
    <cfRule type="beginsWith" dxfId="3" priority="3" operator="beginsWith" text="guess">
      <formula>LEFT(D62,LEN("guess"))="guess"</formula>
    </cfRule>
    <cfRule type="beginsWith" dxfId="2" priority="4" operator="beginsWith" text="estimate">
      <formula>LEFT(D62,LEN("estimate"))="estimate"</formula>
    </cfRule>
  </conditionalFormatting>
  <conditionalFormatting sqref="D61">
    <cfRule type="beginsWith" dxfId="1" priority="1" operator="beginsWith" text="guess">
      <formula>LEFT(D61,LEN("guess"))="guess"</formula>
    </cfRule>
    <cfRule type="beginsWith" dxfId="0" priority="2" operator="beginsWith" text="estimate">
      <formula>LEFT(D61,LEN("estimate"))="estimate"</formula>
    </cfRule>
  </conditionalFormatting>
  <dataValidations count="3">
    <dataValidation type="list" allowBlank="1" showInputMessage="1" showErrorMessage="1" sqref="G1:G1048576" xr:uid="{0198EAC7-F031-4E20-957C-952204BB2F4A}">
      <formula1>"change_metric, percent, count"</formula1>
    </dataValidation>
    <dataValidation type="list" allowBlank="1" showInputMessage="1" showErrorMessage="1" sqref="E1:E1048576" xr:uid="{45ABE526-BF63-4DE7-A57C-3DD20368B497}">
      <formula1>$O:$O</formula1>
    </dataValidation>
    <dataValidation type="list" allowBlank="1" showInputMessage="1" showErrorMessage="1" sqref="F1:F1048576" xr:uid="{BDC071B9-A7BF-4BAD-83F6-305DB4C2BFF0}">
      <formula1>$N:$N</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FAB42693-32D4-4C10-802D-AF303937A480}">
          <x14:formula1>
            <xm:f>table_s3_events!$B:$B</xm:f>
          </x14:formula1>
          <xm:sqref>B1:B1048576</xm:sqref>
        </x14:dataValidation>
        <x14:dataValidation type="list" allowBlank="1" showInputMessage="1" showErrorMessage="1" xr:uid="{CCD39283-F4E1-4D52-B7DE-3097070FAE2B}">
          <x14:formula1>
            <xm:f>references!$B:$B</xm:f>
          </x14:formula1>
          <xm:sqref>D1:D1048576</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d7940701-fd28-48c6-89b6-2769869457dd" xsi:nil="true"/>
    <lcf76f155ced4ddcb4097134ff3c332f xmlns="f4d1a5f8-cfe9-4a60-92ce-29fb37cf63af">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3B5FF1D6D93545B0A9BE76E04A5739" ma:contentTypeVersion="11" ma:contentTypeDescription="Create a new document." ma:contentTypeScope="" ma:versionID="b213452e5774ccb18cdbac914376359f">
  <xsd:schema xmlns:xsd="http://www.w3.org/2001/XMLSchema" xmlns:xs="http://www.w3.org/2001/XMLSchema" xmlns:p="http://schemas.microsoft.com/office/2006/metadata/properties" xmlns:ns2="f4d1a5f8-cfe9-4a60-92ce-29fb37cf63af" xmlns:ns3="d7940701-fd28-48c6-89b6-2769869457dd" targetNamespace="http://schemas.microsoft.com/office/2006/metadata/properties" ma:root="true" ma:fieldsID="94bb0651eba29840b02d7d9879aff2b0" ns2:_="" ns3:_="">
    <xsd:import namespace="f4d1a5f8-cfe9-4a60-92ce-29fb37cf63af"/>
    <xsd:import namespace="d7940701-fd28-48c6-89b6-2769869457d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4d1a5f8-cfe9-4a60-92ce-29fb37cf63a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5d023d89-6bf8-49d2-a6ae-99c0c7930fbe"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BillingMetadata" ma:index="18"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7940701-fd28-48c6-89b6-2769869457dd"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e722dac7-bad3-4c89-8e79-8a3466368dde}" ma:internalName="TaxCatchAll" ma:showField="CatchAllData" ma:web="d7940701-fd28-48c6-89b6-2769869457d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179CFA0-01D1-49C4-829E-9CD6990EDE07}">
  <ds:schemaRefs>
    <ds:schemaRef ds:uri="http://purl.org/dc/dcmitype/"/>
    <ds:schemaRef ds:uri="http://schemas.openxmlformats.org/package/2006/metadata/core-properties"/>
    <ds:schemaRef ds:uri="http://schemas.microsoft.com/office/infopath/2007/PartnerControls"/>
    <ds:schemaRef ds:uri="http://www.w3.org/XML/1998/namespace"/>
    <ds:schemaRef ds:uri="d7940701-fd28-48c6-89b6-2769869457dd"/>
    <ds:schemaRef ds:uri="http://schemas.microsoft.com/office/2006/documentManagement/types"/>
    <ds:schemaRef ds:uri="f4d1a5f8-cfe9-4a60-92ce-29fb37cf63af"/>
    <ds:schemaRef ds:uri="http://schemas.microsoft.com/office/2006/metadata/properties"/>
    <ds:schemaRef ds:uri="http://purl.org/dc/terms/"/>
    <ds:schemaRef ds:uri="http://purl.org/dc/elements/1.1/"/>
  </ds:schemaRefs>
</ds:datastoreItem>
</file>

<file path=customXml/itemProps2.xml><?xml version="1.0" encoding="utf-8"?>
<ds:datastoreItem xmlns:ds="http://schemas.openxmlformats.org/officeDocument/2006/customXml" ds:itemID="{C242F3B7-E13F-47B3-89BF-DC7F2A584373}">
  <ds:schemaRefs>
    <ds:schemaRef ds:uri="http://schemas.microsoft.com/sharepoint/v3/contenttype/forms"/>
  </ds:schemaRefs>
</ds:datastoreItem>
</file>

<file path=customXml/itemProps3.xml><?xml version="1.0" encoding="utf-8"?>
<ds:datastoreItem xmlns:ds="http://schemas.openxmlformats.org/officeDocument/2006/customXml" ds:itemID="{14D4D638-0E0C-48CA-BE88-3BE2B56E957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4d1a5f8-cfe9-4a60-92ce-29fb37cf63af"/>
    <ds:schemaRef ds:uri="d7940701-fd28-48c6-89b6-2769869457d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README</vt:lpstr>
      <vt:lpstr>references</vt:lpstr>
      <vt:lpstr>table_s1_transient</vt:lpstr>
      <vt:lpstr>table_s2_persistent</vt:lpstr>
      <vt:lpstr>table_s3_events</vt:lpstr>
      <vt:lpstr>table_s4_summaries</vt:lpstr>
      <vt:lpstr>table_s5_biosphere_changes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Wong Hearing, Thomas W. (Dr.)</dc:creator>
  <cp:lastModifiedBy>Wong Hearing, Thomas W. (Dr.)</cp:lastModifiedBy>
  <dcterms:created xsi:type="dcterms:W3CDTF">2025-06-23T11:09:54Z</dcterms:created>
  <dcterms:modified xsi:type="dcterms:W3CDTF">2026-03-24T12:58:30Z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0x010100EE3B5FF1D6D93545B0A9BE76E04A5739</vt:lpwstr>
  </property>
  <property fmtid="{D5CDD505-2E9C-101B-9397-08002B2CF9AE}" pid="3" name="MediaServiceImageTags">
    <vt:lpwstr/>
  </property>
</Properties>
</file>